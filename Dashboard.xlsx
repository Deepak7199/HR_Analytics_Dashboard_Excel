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esktop\excel projects\hr dashboard\"/>
    </mc:Choice>
  </mc:AlternateContent>
  <xr:revisionPtr revIDLastSave="0" documentId="13_ncr:1_{03D1BF9A-B8AB-4743-B060-AF41CC8BD86F}" xr6:coauthVersionLast="47" xr6:coauthVersionMax="47" xr10:uidLastSave="{00000000-0000-0000-0000-000000000000}"/>
  <bookViews>
    <workbookView xWindow="-108" yWindow="-108" windowWidth="23256" windowHeight="12456" firstSheet="5" activeTab="9" xr2:uid="{398463A9-48A3-4BD6-80D8-F5FF5B401772}"/>
  </bookViews>
  <sheets>
    <sheet name="Department Vs Attrition" sheetId="12" r:id="rId1"/>
    <sheet name="DataSet" sheetId="1" r:id="rId2"/>
    <sheet name="KPI" sheetId="4" r:id="rId3"/>
    <sheet name="Rating" sheetId="7" r:id="rId4"/>
    <sheet name="Gender" sheetId="8" r:id="rId5"/>
    <sheet name="Age Vs Attrition" sheetId="10" r:id="rId6"/>
    <sheet name="Job_role Vs attrition" sheetId="11" r:id="rId7"/>
    <sheet name="Education Vs Attrition" sheetId="9" r:id="rId8"/>
    <sheet name="Dashboard" sheetId="5" r:id="rId9"/>
    <sheet name="M_dashboard" sheetId="6" r:id="rId10"/>
  </sheets>
  <definedNames>
    <definedName name="_xlchart.v1.0" hidden="1">'Job_role Vs attrition'!$D$4:$D$12</definedName>
    <definedName name="_xlchart.v1.1" hidden="1">'Job_role Vs attrition'!$E$3</definedName>
    <definedName name="_xlchart.v1.2" hidden="1">'Job_role Vs attrition'!$E$4:$E$12</definedName>
    <definedName name="_xlchart.v1.3" hidden="1">'Job_role Vs attrition'!$D$4:$D$12</definedName>
    <definedName name="_xlchart.v1.4" hidden="1">'Job_role Vs attrition'!$E$3</definedName>
    <definedName name="_xlchart.v1.5" hidden="1">'Job_role Vs attrition'!$E$4:$E$12</definedName>
    <definedName name="Slicer_Department">#N/A</definedName>
    <definedName name="Slicer_Education">#N/A</definedName>
    <definedName name="Slicer_Education_Field1">#N/A</definedName>
    <definedName name="Slicer_Gende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11" l="1"/>
  <c r="D6" i="11"/>
  <c r="D7" i="11"/>
  <c r="D8" i="11"/>
  <c r="D9" i="11"/>
  <c r="D10" i="11"/>
  <c r="D11" i="11"/>
  <c r="D12" i="11"/>
  <c r="D4" i="11"/>
  <c r="B7" i="7"/>
  <c r="A11" i="4"/>
  <c r="C11" i="4"/>
  <c r="B11" i="4"/>
  <c r="E5" i="11"/>
  <c r="E9" i="11"/>
  <c r="E10" i="11"/>
  <c r="E6" i="11"/>
  <c r="E7" i="11"/>
  <c r="E11" i="11"/>
  <c r="E8" i="11"/>
  <c r="E12" i="11"/>
  <c r="E4" i="11"/>
  <c r="B11" i="8"/>
  <c r="B10" i="8"/>
  <c r="E11" i="4" l="1"/>
  <c r="D11" i="4"/>
  <c r="F11" i="4" s="1"/>
  <c r="C10" i="8"/>
  <c r="C11" i="8"/>
  <c r="C7" i="7"/>
  <c r="B8" i="7"/>
  <c r="C8" i="7" s="1"/>
</calcChain>
</file>

<file path=xl/sharedStrings.xml><?xml version="1.0" encoding="utf-8"?>
<sst xmlns="http://schemas.openxmlformats.org/spreadsheetml/2006/main" count="19229" uniqueCount="1577">
  <si>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</si>
  <si>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</si>
  <si>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</si>
  <si>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</si>
  <si>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</si>
  <si>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</si>
  <si>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</si>
  <si>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</si>
  <si>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</si>
  <si>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</si>
  <si>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</si>
  <si>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</si>
  <si>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</si>
  <si>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</si>
  <si>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</si>
  <si>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</si>
  <si>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</si>
  <si>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</si>
  <si>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</si>
  <si>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</si>
  <si>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</si>
  <si>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</si>
  <si>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</si>
  <si>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</si>
  <si>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</si>
  <si>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</si>
  <si>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</si>
  <si>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</si>
  <si>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</si>
  <si>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</si>
  <si>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</si>
  <si>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</si>
  <si>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</si>
  <si>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</si>
  <si>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</si>
  <si>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</si>
  <si>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</si>
  <si>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</si>
  <si>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</si>
  <si>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</si>
  <si>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</si>
  <si>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</si>
  <si>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</si>
  <si>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</si>
  <si>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</si>
  <si>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</si>
  <si>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</si>
  <si>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</si>
  <si>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</si>
  <si>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</si>
  <si>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</si>
  <si>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</si>
  <si>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</si>
  <si>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</si>
  <si>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</si>
  <si>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</si>
  <si>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</si>
  <si>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</si>
  <si>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</si>
  <si>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</si>
  <si>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</si>
  <si>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</si>
  <si>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</si>
  <si>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</si>
  <si>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</si>
  <si>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</si>
  <si>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</si>
  <si>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</si>
  <si>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</si>
  <si>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</si>
  <si>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</si>
  <si>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</si>
  <si>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</si>
  <si>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</si>
  <si>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</si>
  <si>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</si>
  <si>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</si>
  <si>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</si>
  <si>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</si>
  <si>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</si>
  <si>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</si>
  <si>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</si>
  <si>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</si>
  <si>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</si>
  <si>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</si>
  <si>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</si>
  <si>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</si>
  <si>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</si>
  <si>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</si>
  <si>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</si>
  <si>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</si>
  <si>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</si>
  <si>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</si>
  <si>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</si>
  <si>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</si>
  <si>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</si>
  <si>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</si>
  <si>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</si>
  <si>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</si>
  <si>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</si>
  <si>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</si>
  <si>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</si>
  <si>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</si>
  <si>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</si>
  <si>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</si>
  <si>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</si>
  <si>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</si>
  <si>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</si>
  <si>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</si>
  <si>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</si>
  <si>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</si>
  <si>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</si>
  <si>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</si>
  <si>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</si>
  <si>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</si>
  <si>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</si>
  <si>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</si>
  <si>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</si>
  <si>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</si>
  <si>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</si>
  <si>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</si>
  <si>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</si>
  <si>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</si>
  <si>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</si>
  <si>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</si>
  <si>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</si>
  <si>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</si>
  <si>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</si>
  <si>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</si>
  <si>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</si>
  <si>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</si>
  <si>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</si>
  <si>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</si>
  <si>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</si>
  <si>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</si>
  <si>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</si>
  <si>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</si>
  <si>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</si>
  <si>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</si>
  <si>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</si>
  <si>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</si>
  <si>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</si>
  <si>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</si>
  <si>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</si>
  <si>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</si>
  <si>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</si>
  <si>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</si>
  <si>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</si>
  <si>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</si>
  <si>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</si>
  <si>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</si>
  <si>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</si>
  <si>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</si>
  <si>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</si>
  <si>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</si>
  <si>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</si>
  <si>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</si>
  <si>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</si>
  <si>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</si>
  <si>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</si>
  <si>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</si>
  <si>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</si>
  <si>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</si>
  <si>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</si>
  <si>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</si>
  <si>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</si>
  <si>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</si>
  <si>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</si>
  <si>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</si>
  <si>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</si>
  <si>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</si>
  <si>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</si>
  <si>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</si>
  <si>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</si>
  <si>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</si>
  <si>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</si>
  <si>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</si>
  <si>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</si>
  <si>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</si>
  <si>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</si>
  <si>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</si>
  <si>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</si>
  <si>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</si>
  <si>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</si>
  <si>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</si>
  <si>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</si>
  <si>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</si>
  <si>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</si>
  <si>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</si>
  <si>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</si>
  <si>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</si>
  <si>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</si>
  <si>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</si>
  <si>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</si>
  <si>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</si>
  <si>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</si>
  <si>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</si>
  <si>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</si>
  <si>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</si>
  <si>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</si>
  <si>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</si>
  <si>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</si>
  <si>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</si>
  <si>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</si>
  <si>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</si>
  <si>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</si>
  <si>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</si>
  <si>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</si>
  <si>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</si>
  <si>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</si>
  <si>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</si>
  <si>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</si>
  <si>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</si>
  <si>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</si>
  <si>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</si>
  <si>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</si>
  <si>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</si>
  <si>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</si>
  <si>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</si>
  <si>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</si>
  <si>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</si>
  <si>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</si>
  <si>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</si>
  <si>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</si>
  <si>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</si>
  <si>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</si>
  <si>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</si>
  <si>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</si>
  <si>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</si>
  <si>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</si>
  <si>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</si>
  <si>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</si>
  <si>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</si>
  <si>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</si>
  <si>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</si>
  <si>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</si>
  <si>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</si>
  <si>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</si>
  <si>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</si>
  <si>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</si>
  <si>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</si>
  <si>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</si>
  <si>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</si>
  <si>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</si>
  <si>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</si>
  <si>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</si>
  <si>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</si>
  <si>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</si>
  <si>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</si>
  <si>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</si>
  <si>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</si>
  <si>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</si>
  <si>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</si>
  <si>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</si>
  <si>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</si>
  <si>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</si>
  <si>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</si>
  <si>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</si>
  <si>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</si>
  <si>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</si>
  <si>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</si>
  <si>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</si>
  <si>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</si>
  <si>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</si>
  <si>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</si>
  <si>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</si>
  <si>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</si>
  <si>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</si>
  <si>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</si>
  <si>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</si>
  <si>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</si>
  <si>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</si>
  <si>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</si>
  <si>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</si>
  <si>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</si>
  <si>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</si>
  <si>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</si>
  <si>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</si>
  <si>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</si>
  <si>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</si>
  <si>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</si>
  <si>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</si>
  <si>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</si>
  <si>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</si>
  <si>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</si>
  <si>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</si>
  <si>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</si>
  <si>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</si>
  <si>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</si>
  <si>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</si>
  <si>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</si>
  <si>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</si>
  <si>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</si>
  <si>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</si>
  <si>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</si>
  <si>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</si>
  <si>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</si>
  <si>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</si>
  <si>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</si>
  <si>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</si>
  <si>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</si>
  <si>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</si>
  <si>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</si>
  <si>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</si>
  <si>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</si>
  <si>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</si>
  <si>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</si>
  <si>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</si>
  <si>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</si>
  <si>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</si>
  <si>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</si>
  <si>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</si>
  <si>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</si>
  <si>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</si>
  <si>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</si>
  <si>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</si>
  <si>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</si>
  <si>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</si>
  <si>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</si>
  <si>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</si>
  <si>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</si>
  <si>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</si>
  <si>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</si>
  <si>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</si>
  <si>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</si>
  <si>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</si>
  <si>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</si>
  <si>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</si>
  <si>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</si>
  <si>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</si>
  <si>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</si>
  <si>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</si>
  <si>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</si>
  <si>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</si>
  <si>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</si>
  <si>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</si>
  <si>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</si>
  <si>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</si>
  <si>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</si>
  <si>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</si>
  <si>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</si>
  <si>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</si>
  <si>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</si>
  <si>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</si>
  <si>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</si>
  <si>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</si>
  <si>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</si>
  <si>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</si>
  <si>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</si>
  <si>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</si>
  <si>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</si>
  <si>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</si>
  <si>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</si>
  <si>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</si>
  <si>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</si>
  <si>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</si>
  <si>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</si>
  <si>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</si>
  <si>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</si>
  <si>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</si>
  <si>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</si>
  <si>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</si>
  <si>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</si>
  <si>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</si>
  <si>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</si>
  <si>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</si>
  <si>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</si>
  <si>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</si>
  <si>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</si>
  <si>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</si>
  <si>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</si>
  <si>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</si>
  <si>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</si>
  <si>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</si>
  <si>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</si>
  <si>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</si>
  <si>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</si>
  <si>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</si>
  <si>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</si>
  <si>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</si>
  <si>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</si>
  <si>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</si>
  <si>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</si>
  <si>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</si>
  <si>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</si>
  <si>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</si>
  <si>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</si>
  <si>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</si>
  <si>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</si>
  <si>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</si>
  <si>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</si>
  <si>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</si>
  <si>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</si>
  <si>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</si>
  <si>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</si>
  <si>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</si>
  <si>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</si>
  <si>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</si>
  <si>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</si>
  <si>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</si>
  <si>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</si>
  <si>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</si>
  <si>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</si>
  <si>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</si>
  <si>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</si>
  <si>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</si>
  <si>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</si>
  <si>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</si>
  <si>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</si>
  <si>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</si>
  <si>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</si>
  <si>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</si>
  <si>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</si>
  <si>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</si>
  <si>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</si>
  <si>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</si>
  <si>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</si>
  <si>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</si>
  <si>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</si>
  <si>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</si>
  <si>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</si>
  <si>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</si>
  <si>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</si>
  <si>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</si>
  <si>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</si>
  <si>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</si>
  <si>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</si>
  <si>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</si>
  <si>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</si>
  <si>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</si>
  <si>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</si>
  <si>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</si>
  <si>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</si>
  <si>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</si>
  <si>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</si>
  <si>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</si>
  <si>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</si>
  <si>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</si>
  <si>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</si>
  <si>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</si>
  <si>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</si>
  <si>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</si>
  <si>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</si>
  <si>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</si>
  <si>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</si>
  <si>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</si>
  <si>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</si>
  <si>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</si>
  <si>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</si>
  <si>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</si>
  <si>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</si>
  <si>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</si>
  <si>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</si>
  <si>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</si>
  <si>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</si>
  <si>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</si>
  <si>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</si>
  <si>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</si>
  <si>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</si>
  <si>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</si>
  <si>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</si>
  <si>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</si>
  <si>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</si>
  <si>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</si>
  <si>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</si>
  <si>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</si>
  <si>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</si>
  <si>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</si>
  <si>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</si>
  <si>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</si>
  <si>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</si>
  <si>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</si>
  <si>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</si>
  <si>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</si>
  <si>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</si>
  <si>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</si>
  <si>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</si>
  <si>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</si>
  <si>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</si>
  <si>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</si>
  <si>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</si>
  <si>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</si>
  <si>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</si>
  <si>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</si>
  <si>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</si>
  <si>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</si>
  <si>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</si>
  <si>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</si>
  <si>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</si>
  <si>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</si>
  <si>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</si>
  <si>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</si>
  <si>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</si>
  <si>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</si>
  <si>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</si>
  <si>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</si>
  <si>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</si>
  <si>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</si>
  <si>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</si>
  <si>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</si>
  <si>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</si>
  <si>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</si>
  <si>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</si>
  <si>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</si>
  <si>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</si>
  <si>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</si>
  <si>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</si>
  <si>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</si>
  <si>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</si>
  <si>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</si>
  <si>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</si>
  <si>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</si>
  <si>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</si>
  <si>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</si>
  <si>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</si>
  <si>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</si>
  <si>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</si>
  <si>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</si>
  <si>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</si>
  <si>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</si>
  <si>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</si>
  <si>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</si>
  <si>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</si>
  <si>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</si>
  <si>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</si>
  <si>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</si>
  <si>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</si>
  <si>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</si>
  <si>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</si>
  <si>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</si>
  <si>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</si>
  <si>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</si>
  <si>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</si>
  <si>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</si>
  <si>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</si>
  <si>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</si>
  <si>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</si>
  <si>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</si>
  <si>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</si>
  <si>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</si>
  <si>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</si>
  <si>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</si>
  <si>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</si>
  <si>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</si>
  <si>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</si>
  <si>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</si>
  <si>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</si>
  <si>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</si>
  <si>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</si>
  <si>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</si>
  <si>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</si>
  <si>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</si>
  <si>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</si>
  <si>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</si>
  <si>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</si>
  <si>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</si>
  <si>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</si>
  <si>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</si>
  <si>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</si>
  <si>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</si>
  <si>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</si>
  <si>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</si>
  <si>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</si>
  <si>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</si>
  <si>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</si>
  <si>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</si>
  <si>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</si>
  <si>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</si>
  <si>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</si>
  <si>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</si>
  <si>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</si>
  <si>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</si>
  <si>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</si>
  <si>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</si>
  <si>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</si>
  <si>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</si>
  <si>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</si>
  <si>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</si>
  <si>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</si>
  <si>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</si>
  <si>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</si>
  <si>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</si>
  <si>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</si>
  <si>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</si>
  <si>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</si>
  <si>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</si>
  <si>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</si>
  <si>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</si>
  <si>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</si>
  <si>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</si>
  <si>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</si>
  <si>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</si>
  <si>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</si>
  <si>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</si>
  <si>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</si>
  <si>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</si>
  <si>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</si>
  <si>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</si>
  <si>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</si>
  <si>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</si>
  <si>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</si>
  <si>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</si>
  <si>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</si>
  <si>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</si>
  <si>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</si>
  <si>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</si>
  <si>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</si>
  <si>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</si>
  <si>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</si>
  <si>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</si>
  <si>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</si>
  <si>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</si>
  <si>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</si>
  <si>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</si>
  <si>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</si>
  <si>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</si>
  <si>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</si>
  <si>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</si>
  <si>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</si>
  <si>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</si>
  <si>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</si>
  <si>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</si>
  <si>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</si>
  <si>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</si>
  <si>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</si>
  <si>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</si>
  <si>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</si>
  <si>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</si>
  <si>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</si>
  <si>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</si>
  <si>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</si>
  <si>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</si>
  <si>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</si>
  <si>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</si>
  <si>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</si>
  <si>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</si>
  <si>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</si>
  <si>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</si>
  <si>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</si>
  <si>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</si>
  <si>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</si>
  <si>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</si>
  <si>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</si>
  <si>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</si>
  <si>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</si>
  <si>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</si>
  <si>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</si>
  <si>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</si>
  <si>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</si>
  <si>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</si>
  <si>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</si>
  <si>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</si>
  <si>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</si>
  <si>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</si>
  <si>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</si>
  <si>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</si>
  <si>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</si>
  <si>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</si>
  <si>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</si>
  <si>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</si>
  <si>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</si>
  <si>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</si>
  <si>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</si>
  <si>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</si>
  <si>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</si>
  <si>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</si>
  <si>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</si>
  <si>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</si>
  <si>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</si>
  <si>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</si>
  <si>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</si>
  <si>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</si>
  <si>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</si>
  <si>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</si>
  <si>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</si>
  <si>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</si>
  <si>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</si>
  <si>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</si>
  <si>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</si>
  <si>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</si>
  <si>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</si>
  <si>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</si>
  <si>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</si>
  <si>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</si>
  <si>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</si>
  <si>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</si>
  <si>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</si>
  <si>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</si>
  <si>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</si>
  <si>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</si>
  <si>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</si>
  <si>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</si>
  <si>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</si>
  <si>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</si>
  <si>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</si>
  <si>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</si>
  <si>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</si>
  <si>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</si>
  <si>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</si>
  <si>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</si>
  <si>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</si>
  <si>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</si>
  <si>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</si>
  <si>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</si>
  <si>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</si>
  <si>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</si>
  <si>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</si>
  <si>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</si>
  <si>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</si>
  <si>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</si>
  <si>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</si>
  <si>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</si>
  <si>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</si>
  <si>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</si>
  <si>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</si>
  <si>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</si>
  <si>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</si>
  <si>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</si>
  <si>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</si>
  <si>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</si>
  <si>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</si>
  <si>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</si>
  <si>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</si>
  <si>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</si>
  <si>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</si>
  <si>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</si>
  <si>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</si>
  <si>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</si>
  <si>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</si>
  <si>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</si>
  <si>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</si>
  <si>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</si>
  <si>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</si>
  <si>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</si>
  <si>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</si>
  <si>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</si>
  <si>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</si>
  <si>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</si>
  <si>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</si>
  <si>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</si>
  <si>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</si>
  <si>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</si>
  <si>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</si>
  <si>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</si>
  <si>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</si>
  <si>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</si>
  <si>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</si>
  <si>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</si>
  <si>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</si>
  <si>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</si>
  <si>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</si>
  <si>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</si>
  <si>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</si>
  <si>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</si>
  <si>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</si>
  <si>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</si>
  <si>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</si>
  <si>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</si>
  <si>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</si>
  <si>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</si>
  <si>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</si>
  <si>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</si>
  <si>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</si>
  <si>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</si>
  <si>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</si>
  <si>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</si>
  <si>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</si>
  <si>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</si>
  <si>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</si>
  <si>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</si>
  <si>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</si>
  <si>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</si>
  <si>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</si>
  <si>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</si>
  <si>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</si>
  <si>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</si>
  <si>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</si>
  <si>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</si>
  <si>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</si>
  <si>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</si>
  <si>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</si>
  <si>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</si>
  <si>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</si>
  <si>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</si>
  <si>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</si>
  <si>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</si>
  <si>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</si>
  <si>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</si>
  <si>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</si>
  <si>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</si>
  <si>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</si>
  <si>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</si>
  <si>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</si>
  <si>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</si>
  <si>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</si>
  <si>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</si>
  <si>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</si>
  <si>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</si>
  <si>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</si>
  <si>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</si>
  <si>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</si>
  <si>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</si>
  <si>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</si>
  <si>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</si>
  <si>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</si>
  <si>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</si>
  <si>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</si>
  <si>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</si>
  <si>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</si>
  <si>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</si>
  <si>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</si>
  <si>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</si>
  <si>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</si>
  <si>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</si>
  <si>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</si>
  <si>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</si>
  <si>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</si>
  <si>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</si>
  <si>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</si>
  <si>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</si>
  <si>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</si>
  <si>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</si>
  <si>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</si>
  <si>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</si>
  <si>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</si>
  <si>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</si>
  <si>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</si>
  <si>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</si>
  <si>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</si>
  <si>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</si>
  <si>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</si>
  <si>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</si>
  <si>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</si>
  <si>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</si>
  <si>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</si>
  <si>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</si>
  <si>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</si>
  <si>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</si>
  <si>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</si>
  <si>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</si>
  <si>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</si>
  <si>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</si>
  <si>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</si>
  <si>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</si>
  <si>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</si>
  <si>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</si>
  <si>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</si>
  <si>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</si>
  <si>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</si>
  <si>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</si>
  <si>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</si>
  <si>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</si>
  <si>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</si>
  <si>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</si>
  <si>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</si>
  <si>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</si>
  <si>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</si>
  <si>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</si>
  <si>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</si>
  <si>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</si>
  <si>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</si>
  <si>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</si>
  <si>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</si>
  <si>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</si>
  <si>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</si>
  <si>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</si>
  <si>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</si>
  <si>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</si>
  <si>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</si>
  <si>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</si>
  <si>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</si>
  <si>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</si>
  <si>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</si>
  <si>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</si>
  <si>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</si>
  <si>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</si>
  <si>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</si>
  <si>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</si>
  <si>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</si>
  <si>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</si>
  <si>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</si>
  <si>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</si>
  <si>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</si>
  <si>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</si>
  <si>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</si>
  <si>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</si>
  <si>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</si>
  <si>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</si>
  <si>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</si>
  <si>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</si>
  <si>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</si>
  <si>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</si>
  <si>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</si>
  <si>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</si>
  <si>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</si>
  <si>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</si>
  <si>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</si>
  <si>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</si>
  <si>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</si>
  <si>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</si>
  <si>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</si>
  <si>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</si>
  <si>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</si>
  <si>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</si>
  <si>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</si>
  <si>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</si>
  <si>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</si>
  <si>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</si>
  <si>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</si>
  <si>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</si>
  <si>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</si>
  <si>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</si>
  <si>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</si>
  <si>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</si>
  <si>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</si>
  <si>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</si>
  <si>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</si>
  <si>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</si>
  <si>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</si>
  <si>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</si>
  <si>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</si>
  <si>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</si>
  <si>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</si>
  <si>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</si>
  <si>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</si>
  <si>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</si>
  <si>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</si>
  <si>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</si>
  <si>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</si>
  <si>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</si>
  <si>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</si>
  <si>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</si>
  <si>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</si>
  <si>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</si>
  <si>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</si>
  <si>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</si>
  <si>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</si>
  <si>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</si>
  <si>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</si>
  <si>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</si>
  <si>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</si>
  <si>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</si>
  <si>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</si>
  <si>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</si>
  <si>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</si>
  <si>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</si>
  <si>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</si>
  <si>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</si>
  <si>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</si>
  <si>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</si>
  <si>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</si>
  <si>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</si>
  <si>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</si>
  <si>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</si>
  <si>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</si>
  <si>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</si>
  <si>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</si>
  <si>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</si>
  <si>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</si>
  <si>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</si>
  <si>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</si>
  <si>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</si>
  <si>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</si>
  <si>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</si>
  <si>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</si>
  <si>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</si>
  <si>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</si>
  <si>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</si>
  <si>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</si>
  <si>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</si>
  <si>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</si>
  <si>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</si>
  <si>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</si>
  <si>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</si>
  <si>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</si>
  <si>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</si>
  <si>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</si>
  <si>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</si>
  <si>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</si>
  <si>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</si>
  <si>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</si>
  <si>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</si>
  <si>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</si>
  <si>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</si>
  <si>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</si>
  <si>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</si>
  <si>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</si>
  <si>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</si>
  <si>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</si>
  <si>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</si>
  <si>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</si>
  <si>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</si>
  <si>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</si>
  <si>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</si>
  <si>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</si>
  <si>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</si>
  <si>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</si>
  <si>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</si>
  <si>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</si>
  <si>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</si>
  <si>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</si>
  <si>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</si>
  <si>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</si>
  <si>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</si>
  <si>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</si>
  <si>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</si>
  <si>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</si>
  <si>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</si>
  <si>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</si>
  <si>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</si>
  <si>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</si>
  <si>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</si>
  <si>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</si>
  <si>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</si>
  <si>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</si>
  <si>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</si>
  <si>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</si>
  <si>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</si>
  <si>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</si>
  <si>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</si>
  <si>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</si>
  <si>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</si>
  <si>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</si>
  <si>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</si>
  <si>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</si>
  <si>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</si>
  <si>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</si>
  <si>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</si>
  <si>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</si>
  <si>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</si>
  <si>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</si>
  <si>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</si>
  <si>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</si>
  <si>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</si>
  <si>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</si>
  <si>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</si>
  <si>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</si>
  <si>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</si>
  <si>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</si>
  <si>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</si>
  <si>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</si>
  <si>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</si>
  <si>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</si>
  <si>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</si>
  <si>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</si>
  <si>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</si>
  <si>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</si>
  <si>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</si>
  <si>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</si>
  <si>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</si>
  <si>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</si>
  <si>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</si>
  <si>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</si>
  <si>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</si>
  <si>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</si>
  <si>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</si>
  <si>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</si>
  <si>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</si>
  <si>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</si>
  <si>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</si>
  <si>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</si>
  <si>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</si>
  <si>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</si>
  <si>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</si>
  <si>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</si>
  <si>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</si>
  <si>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</si>
  <si>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</si>
  <si>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</si>
  <si>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</si>
  <si>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</si>
  <si>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</si>
  <si>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</si>
  <si>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</si>
  <si>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</si>
  <si>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</si>
  <si>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</si>
  <si>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</si>
  <si>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</si>
  <si>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</si>
  <si>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</si>
  <si>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</si>
  <si>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</si>
  <si>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</si>
  <si>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</si>
  <si>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</si>
  <si>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</si>
  <si>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</si>
  <si>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</si>
  <si>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</si>
  <si>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</si>
  <si>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</si>
  <si>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</si>
  <si>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</si>
  <si>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</si>
  <si>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</si>
  <si>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</si>
  <si>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</si>
  <si>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</si>
  <si>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</si>
  <si>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</si>
  <si>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</si>
  <si>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</si>
  <si>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</si>
  <si>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</si>
  <si>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</si>
  <si>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</si>
  <si>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</si>
  <si>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</si>
  <si>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</si>
  <si>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</si>
  <si>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</si>
  <si>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</si>
  <si>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</si>
  <si>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</si>
  <si>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</si>
  <si>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</si>
  <si>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</si>
  <si>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</si>
  <si>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</si>
  <si>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</si>
  <si>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</si>
  <si>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</si>
  <si>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</si>
  <si>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</si>
  <si>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</si>
  <si>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</si>
  <si>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</si>
  <si>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</si>
  <si>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</si>
  <si>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</si>
  <si>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</si>
  <si>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</si>
  <si>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</si>
  <si>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</si>
  <si>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</si>
  <si>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</si>
  <si>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</si>
  <si>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</si>
  <si>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</si>
  <si>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</si>
  <si>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</si>
  <si>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</si>
  <si>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</si>
  <si>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</si>
  <si>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</si>
  <si>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</si>
  <si>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</si>
  <si>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</si>
  <si>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</si>
  <si>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</si>
  <si>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</si>
  <si>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</si>
  <si>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</si>
  <si>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</si>
  <si>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</si>
  <si>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</si>
  <si>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</si>
  <si>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</si>
  <si>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</si>
  <si>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</si>
  <si>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</si>
  <si>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</si>
  <si>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</si>
  <si>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</si>
  <si>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</si>
  <si>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</si>
  <si>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</si>
  <si>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</si>
  <si>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</si>
  <si>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</si>
  <si>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</si>
  <si>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</si>
  <si>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</si>
  <si>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</si>
  <si>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</si>
  <si>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</si>
  <si>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</si>
  <si>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</si>
  <si>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</si>
  <si>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</si>
  <si>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</si>
  <si>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</si>
  <si>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</si>
  <si>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</si>
  <si>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</si>
  <si>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</si>
  <si>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</si>
  <si>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</si>
  <si>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</si>
  <si>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</si>
  <si>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</si>
  <si>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</si>
  <si>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</si>
  <si>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</si>
  <si>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</si>
  <si>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</si>
  <si>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</si>
  <si>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</si>
  <si>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</si>
  <si>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</si>
  <si>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</si>
  <si>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</si>
  <si>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</si>
  <si>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</si>
  <si>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</si>
  <si>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</si>
  <si>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</si>
  <si>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</si>
  <si>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</si>
  <si>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</si>
  <si>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</si>
  <si>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</si>
  <si>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</si>
  <si>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</si>
  <si>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</si>
  <si>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</si>
  <si>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</si>
  <si>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</si>
  <si>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</si>
  <si>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</si>
  <si>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</si>
  <si>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</si>
  <si>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</si>
  <si>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</si>
  <si>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</si>
  <si>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</si>
  <si>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</si>
  <si>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</si>
  <si>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</si>
  <si>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</si>
  <si>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</si>
  <si>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</si>
  <si>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</si>
  <si>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</si>
  <si>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</si>
  <si>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</si>
  <si>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</si>
  <si>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</si>
  <si>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</si>
  <si>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</si>
  <si>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</si>
  <si>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</si>
  <si>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</si>
  <si>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</si>
  <si>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</si>
  <si>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</si>
  <si>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</si>
  <si>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</si>
  <si>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</si>
  <si>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</si>
  <si>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</si>
  <si>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</si>
  <si>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</si>
  <si>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</si>
  <si>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</si>
  <si>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</si>
  <si>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</si>
  <si>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</si>
  <si>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</si>
  <si>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</si>
  <si>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</si>
  <si>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</si>
  <si>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</si>
  <si>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</si>
  <si>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</si>
  <si>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</si>
  <si>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</si>
  <si>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</si>
  <si>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</si>
  <si>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</si>
  <si>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</si>
  <si>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</si>
  <si>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</si>
  <si>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</si>
  <si>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</si>
  <si>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</si>
  <si>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</si>
  <si>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</si>
  <si>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</si>
  <si>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</si>
  <si>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</si>
  <si>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</si>
  <si>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</si>
  <si>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</si>
  <si>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</si>
  <si>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</si>
  <si>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</si>
  <si>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</si>
  <si>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</si>
  <si>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</si>
  <si>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</si>
  <si>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</si>
  <si>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</si>
  <si>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</si>
  <si>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</si>
  <si>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</si>
  <si>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</si>
  <si>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</si>
  <si>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</si>
  <si>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</si>
  <si>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</si>
  <si>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</si>
  <si>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</si>
  <si>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</si>
  <si>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</si>
  <si>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</si>
  <si>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</si>
  <si>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</si>
  <si>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</si>
  <si>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</si>
  <si>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</si>
  <si>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</si>
  <si>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</si>
  <si>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</si>
  <si>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</si>
  <si>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</si>
  <si>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</si>
  <si>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</si>
  <si>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</si>
  <si>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</si>
  <si>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</si>
  <si>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</si>
  <si>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</si>
  <si>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</si>
  <si>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</si>
  <si>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</si>
  <si>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</si>
  <si>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</si>
  <si>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</si>
  <si>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</si>
  <si>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</si>
  <si>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</si>
  <si>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</si>
  <si>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</si>
  <si>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</si>
  <si>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</si>
  <si>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</si>
  <si>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</si>
  <si>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</si>
  <si>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</si>
  <si>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</si>
  <si>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</si>
  <si>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</si>
  <si>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</si>
  <si>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</si>
  <si>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</si>
  <si>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</si>
  <si>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</si>
  <si>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</si>
  <si>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</si>
  <si>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</si>
  <si>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</si>
  <si>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</si>
  <si>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</si>
  <si>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</si>
  <si>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</si>
  <si>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</si>
  <si>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</si>
  <si>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</si>
  <si>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</si>
  <si>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</si>
  <si>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</si>
  <si>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</si>
  <si>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</si>
  <si>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</si>
  <si>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</si>
  <si>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</si>
  <si>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</si>
  <si>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</si>
  <si>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</si>
  <si>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</si>
  <si>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</si>
  <si>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</si>
  <si>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</si>
  <si>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</si>
  <si>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</si>
  <si>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</si>
  <si>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</si>
  <si>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</si>
  <si>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</si>
  <si>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</si>
  <si>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</si>
  <si>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</si>
  <si>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</si>
  <si>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</si>
  <si>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</si>
  <si>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</si>
  <si>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</si>
  <si>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</si>
  <si>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</si>
  <si>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</si>
  <si>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</si>
  <si>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</si>
  <si>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</si>
  <si>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</si>
  <si>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</si>
  <si>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</si>
  <si>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</si>
  <si>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</si>
  <si>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</si>
  <si>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</si>
  <si>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</si>
  <si>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</si>
  <si>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</si>
  <si>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</si>
  <si>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</si>
  <si>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</si>
  <si>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</si>
  <si>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</si>
  <si>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</si>
  <si>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</si>
  <si>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</si>
  <si>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</si>
  <si>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</si>
  <si>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</si>
  <si>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</si>
  <si>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</si>
  <si>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</si>
  <si>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</si>
  <si>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</si>
  <si>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</si>
  <si>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</si>
  <si>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</si>
  <si>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</si>
  <si>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</si>
  <si>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</si>
  <si>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</si>
  <si>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</si>
  <si>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</si>
  <si>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</si>
  <si>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</si>
  <si>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</si>
  <si>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</si>
  <si>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</si>
  <si>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</si>
  <si>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</si>
  <si>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</si>
  <si>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</si>
  <si>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</si>
  <si>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</si>
  <si>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</si>
  <si>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</si>
  <si>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</si>
  <si>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</si>
  <si>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</si>
  <si>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</si>
  <si>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</si>
  <si>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</si>
  <si>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</si>
  <si>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</si>
  <si>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</si>
  <si>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</si>
  <si>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</si>
  <si>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</si>
  <si>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</si>
  <si>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</si>
  <si>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</si>
  <si>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</si>
  <si>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</si>
  <si>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</si>
  <si>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</si>
  <si>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</si>
  <si>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</si>
  <si>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</si>
  <si>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</si>
  <si>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</si>
  <si>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</si>
  <si>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</si>
  <si>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</si>
  <si>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</si>
  <si>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</si>
  <si>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</si>
  <si>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</si>
  <si>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</si>
  <si>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</si>
  <si>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</si>
  <si>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</si>
  <si>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</si>
  <si>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</si>
  <si>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</si>
  <si>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</si>
  <si>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</si>
  <si>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</si>
  <si>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</si>
  <si>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</si>
  <si>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</si>
  <si>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</si>
  <si>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</si>
  <si>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</si>
  <si>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</si>
  <si>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</si>
  <si>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</si>
  <si>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</si>
  <si>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</si>
  <si>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</si>
  <si>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</si>
  <si>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</si>
  <si>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</si>
  <si>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</si>
  <si>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</si>
  <si>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</si>
  <si>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</si>
  <si>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</si>
  <si>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</si>
  <si>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</si>
  <si>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</si>
  <si>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</si>
  <si>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</si>
  <si>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</si>
  <si>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</si>
  <si>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</si>
  <si>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</si>
  <si>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</si>
  <si>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</si>
  <si>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</si>
  <si>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</si>
  <si>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</si>
  <si>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</si>
  <si>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</si>
  <si>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</si>
  <si>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</si>
  <si>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</si>
  <si>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</si>
  <si>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</si>
  <si>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</si>
  <si>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</si>
  <si>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</si>
  <si>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</si>
  <si>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</si>
  <si>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</si>
  <si>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</si>
  <si>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</si>
  <si>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</si>
  <si>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</si>
  <si>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</si>
  <si>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</si>
  <si>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</si>
  <si>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</si>
  <si>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</si>
  <si>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</si>
  <si>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</si>
  <si>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</si>
  <si>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</si>
  <si>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</si>
  <si>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</si>
  <si>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</si>
  <si>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</si>
  <si>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</si>
  <si>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</si>
  <si>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</si>
  <si>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</si>
  <si>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</si>
  <si>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</si>
  <si>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</si>
  <si>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</si>
  <si>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</si>
  <si>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Sum of CF_attrition counts</t>
  </si>
  <si>
    <t>Average of Age</t>
  </si>
  <si>
    <t>Attrition Count</t>
  </si>
  <si>
    <t>Active Workspace</t>
  </si>
  <si>
    <t>Attrition Rate</t>
  </si>
  <si>
    <t>Total employees</t>
  </si>
  <si>
    <t>Average Age</t>
  </si>
  <si>
    <t>Retention Rate</t>
  </si>
  <si>
    <t>values colour #FD5E53</t>
  </si>
  <si>
    <t>colour code for KPIS #660000</t>
  </si>
  <si>
    <t>Average of Job Satisfaction</t>
  </si>
  <si>
    <t>Rating</t>
  </si>
  <si>
    <t>Balance Rating</t>
  </si>
  <si>
    <t>max is 4 and min is 1</t>
  </si>
  <si>
    <t xml:space="preserve"> </t>
  </si>
  <si>
    <t>percentage</t>
  </si>
  <si>
    <t>Age Group</t>
  </si>
  <si>
    <t>Attrition count</t>
  </si>
  <si>
    <t>Job  Role</t>
  </si>
  <si>
    <t>Sum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</si>
</sst>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9" fontId="0" fillId="0" borderId="0" xfId="1" applyFont="1"/>
    <xf numFmtId="10" fontId="0" fillId="0" borderId="0" xfId="1" applyNumberFormat="1" applyFont="1"/>
    <xf numFmtId="0" fontId="0" fillId="2" borderId="0" xfId="0" applyFill="1"/>
    <xf numFmtId="0" fontId="0" fillId="0" borderId="0" xfId="0" applyAlignment="1">
      <alignment horizontal="left" indent="1"/>
    </xf>
    <xf numFmtId="10" fontId="0" fillId="0" borderId="0" xfId="0" applyNumberFormat="1"/>
  </cellXfs>
  <cellStyles count="2">
    <cellStyle name="Normal" xfId="0" builtinId="0"/>
    <cellStyle name="Percent" xfId="1" builtinId="5"/>
  </cellStyles>
  <dxfs count="5">
    <dxf>
      <numFmt numFmtId="164" formatCode="0.0"/>
    </dxf>
    <dxf>
      <fill>
        <gradientFill degree="90">
          <stop position="0">
            <color theme="5" tint="0.59999389629810485"/>
          </stop>
          <stop position="1">
            <color theme="5" tint="0.80001220740379042"/>
          </stop>
        </gradientFill>
      </fill>
    </dxf>
    <dxf>
      <fill>
        <patternFill patternType="none">
          <bgColor auto="1"/>
        </patternFill>
      </fill>
      <border diagonalUp="0" diagonalDown="0">
        <left/>
        <right/>
        <top/>
        <bottom/>
        <vertical/>
        <horizontal/>
      </border>
    </dxf>
    <dxf>
      <fill>
        <gradientFill degree="90">
          <stop position="0">
            <color theme="5" tint="0.59999389629810485"/>
          </stop>
          <stop position="1">
            <color theme="5" tint="0.80001220740379042"/>
          </stop>
        </gradientFill>
      </fill>
    </dxf>
    <dxf>
      <fill>
        <patternFill>
          <bgColor theme="0"/>
        </patternFill>
      </fill>
    </dxf>
  </dxfs>
  <tableStyles count="2" defaultTableStyle="TableStyleMedium2" defaultPivotStyle="PivotStyleLight16">
    <tableStyle name="Slicer" pivot="0" table="0" count="10" xr9:uid="{CA3820FF-9758-4333-84F3-C7B47E922D16}">
      <tableStyleElement type="wholeTable" dxfId="4"/>
      <tableStyleElement type="headerRow" dxfId="3"/>
    </tableStyle>
    <tableStyle name="Transparent Slicer" pivot="0" table="0" count="10" xr9:uid="{98191CA5-C7F6-4765-B095-E8341859C7B3}">
      <tableStyleElement type="wholeTable" dxfId="2"/>
      <tableStyleElement type="headerRow" dxfId="1"/>
    </tableStyle>
  </tableStyles>
  <colors>
    <mruColors>
      <color rgb="FF660000"/>
      <color rgb="FF901C7F"/>
      <color rgb="FFE00202"/>
      <color rgb="FFFD5E53"/>
      <color rgb="FFC244CC"/>
      <color rgb="FFFB8FFB"/>
      <color rgb="FFFDCBFD"/>
      <color rgb="FFB434BE"/>
      <color rgb="FFFCD4B8"/>
    </mruColors>
  </colors>
  <extLst>
    <ext xmlns:x14="http://schemas.microsoft.com/office/spreadsheetml/2009/9/main" uri="{46F421CA-312F-682f-3DD2-61675219B42D}">
      <x14:dxfs count="16">
        <dxf>
          <fill>
            <patternFill patternType="none">
              <fgColor auto="1"/>
              <bgColor auto="1"/>
            </patternFill>
          </fill>
        </dxf>
        <dxf>
          <fill>
            <patternFill patternType="none">
              <fgColor auto="1"/>
              <bgColor auto="1"/>
            </patternFill>
          </fill>
        </dxf>
        <dxf>
          <fill>
            <patternFill patternType="none">
              <fgColor auto="1"/>
              <bgColor auto="1"/>
            </patternFill>
          </fill>
        </dxf>
        <dxf>
          <fill>
            <patternFill patternType="none">
              <fgColor auto="1"/>
              <bgColor auto="1"/>
            </patternFill>
          </fill>
        </dxf>
        <dxf>
          <fill>
            <gradientFill>
              <stop position="0">
                <color theme="1" tint="0.1490218817712943"/>
              </stop>
              <stop position="1">
                <color theme="0" tint="-0.49803155613879818"/>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2" tint="-0.89803765984069339"/>
              </stop>
              <stop position="1">
                <color theme="0" tint="-0.49803155613879818"/>
              </stop>
            </gradientFill>
          </fill>
        </dxf>
        <dxf>
          <fill>
            <gradientFill degree="90">
              <stop position="0">
                <color theme="1" tint="5.0965910824915313E-2"/>
              </stop>
              <stop position="1">
                <color theme="0" tint="-0.49803155613879818"/>
              </stop>
            </gradientFill>
          </fill>
        </dxf>
        <dxf>
          <fill>
            <patternFill patternType="none">
              <fgColor auto="1"/>
              <bgColor auto="1"/>
            </patternFill>
          </fill>
        </dxf>
        <dxf>
          <fill>
            <patternFill patternType="none">
              <fgColor auto="1"/>
              <bgColor auto="1"/>
            </patternFill>
          </fill>
        </dxf>
        <dxf>
          <fill>
            <patternFill patternType="none">
              <fgColor auto="1"/>
              <bgColor auto="1"/>
            </patternFill>
          </fill>
        </dxf>
        <dxf>
          <fill>
            <patternFill patternType="none">
              <fgColor auto="1"/>
              <bgColor auto="1"/>
            </patternFill>
          </fill>
        </dxf>
        <dxf>
          <fill>
            <gradientFill>
              <stop position="0">
                <color theme="1" tint="0.1490218817712943"/>
              </stop>
              <stop position="1">
                <color theme="0" tint="-0.49803155613879818"/>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2" tint="-0.89803765984069339"/>
              </stop>
              <stop position="1">
                <color theme="0" tint="-0.49803155613879818"/>
              </stop>
            </gradientFill>
          </fill>
        </dxf>
        <dxf>
          <fill>
            <gradientFill degree="90">
              <stop position="0">
                <color theme="1" tint="5.0965910824915313E-2"/>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Transparen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[Book1.xlsx]Department Vs Attrition!Department_att</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Vs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5C-4712-8624-CD3FC1A4D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5C-4712-8624-CD3FC1A4D1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5C-4712-8624-CD3FC1A4D121}"/>
              </c:ext>
            </c:extLst>
          </c:dPt>
          <c:cat>
            <c:strRef>
              <c:f>'Department Vs Attrition'!$A$4:$A$7</c:f>
              <c:strCache>
                <c:ptCount val="3"/>
                <c:pt idx="0">
                  <c:v>HR</c:v>
                </c:pt>
                <c:pt idx="1">
                  <c:v>R&amp;D</c:v>
                </c:pt>
                <c:pt idx="2">
                  <c:v>Sales</c:v>
                </c:pt>
              </c:strCache>
            </c:strRef>
          </c:cat>
          <c:val>
            <c:numRef>
              <c:f>'Department Vs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F891-46FC-A9DF-C6F4CB8C045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DD-4B8B-8411-FB762598BF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DD-4B8B-8411-FB762598BF3A}"/>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02A2-40CB-82F0-F2FB09318C9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419F-4A94-A60B-BCFB7DC7C736}"/>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2-419F-4A94-A60B-BCFB7DC7C736}"/>
            </c:ext>
          </c:extLst>
        </c:ser>
        <c:dLbls>
          <c:showLegendKey val="0"/>
          <c:showVal val="0"/>
          <c:showCatName val="0"/>
          <c:showSerName val="0"/>
          <c:showPercent val="0"/>
          <c:showBubbleSize val="0"/>
        </c:dLbls>
        <c:gapWidth val="0"/>
        <c:overlap val="100"/>
        <c:axId val="361489391"/>
        <c:axId val="361489871"/>
      </c:barChart>
      <c:catAx>
        <c:axId val="361489391"/>
        <c:scaling>
          <c:orientation val="minMax"/>
        </c:scaling>
        <c:delete val="1"/>
        <c:axPos val="l"/>
        <c:majorTickMark val="none"/>
        <c:minorTickMark val="none"/>
        <c:tickLblPos val="nextTo"/>
        <c:crossAx val="361489871"/>
        <c:crosses val="autoZero"/>
        <c:auto val="1"/>
        <c:lblAlgn val="ctr"/>
        <c:lblOffset val="100"/>
        <c:noMultiLvlLbl val="0"/>
      </c:catAx>
      <c:valAx>
        <c:axId val="361489871"/>
        <c:scaling>
          <c:orientation val="minMax"/>
          <c:max val="4"/>
        </c:scaling>
        <c:delete val="1"/>
        <c:axPos val="b"/>
        <c:numFmt formatCode="0.0" sourceLinked="1"/>
        <c:majorTickMark val="none"/>
        <c:minorTickMark val="none"/>
        <c:tickLblPos val="nextTo"/>
        <c:crossAx val="36148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3E-4131-A592-E77978D977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3E-4131-A592-E77978D977C9}"/>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7439-4F4B-861B-BDF48FEF959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[Book1.xlsx]Age Vs Attrition!age_att</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Vs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'Age Vs Attrition'!$A$4:$A$24</c:f>
              <c:multiLvlStrCache>
                <c:ptCount val="15"/>
                <c:lvl>
                  <c:pt idx="0">
                    <c:v>Divorced</c:v>
                  </c:pt>
                  <c:pt idx="1">
                    <c:v>Married</c:v>
                  </c:pt>
                  <c:pt idx="2">
                    <c:v>Single</c:v>
                  </c:pt>
                  <c:pt idx="3">
                    <c:v>Divorced</c:v>
                  </c:pt>
                  <c:pt idx="4">
                    <c:v>Married</c:v>
                  </c:pt>
                  <c:pt idx="5">
                    <c:v>Single</c:v>
                  </c:pt>
                  <c:pt idx="6">
                    <c:v>Divorced</c:v>
                  </c:pt>
                  <c:pt idx="7">
                    <c:v>Married</c:v>
                  </c:pt>
                  <c:pt idx="8">
                    <c:v>Single</c:v>
                  </c:pt>
                  <c:pt idx="9">
                    <c:v>Divorced</c:v>
                  </c:pt>
                  <c:pt idx="10">
                    <c:v>Married</c:v>
                  </c:pt>
                  <c:pt idx="11">
                    <c:v>Single</c:v>
                  </c:pt>
                  <c:pt idx="12">
                    <c:v>Divorced</c:v>
                  </c:pt>
                  <c:pt idx="13">
                    <c:v>Married</c:v>
                  </c:pt>
                  <c:pt idx="14">
                    <c:v>Single</c:v>
                  </c:pt>
                </c:lvl>
                <c:lvl>
                  <c:pt idx="0">
                    <c:v>25 - 34</c:v>
                  </c:pt>
                  <c:pt idx="3">
                    <c:v>35 - 44</c:v>
                  </c:pt>
                  <c:pt idx="6">
                    <c:v>45 - 54</c:v>
                  </c:pt>
                  <c:pt idx="9">
                    <c:v>Over 55</c:v>
                  </c:pt>
                  <c:pt idx="12">
                    <c:v>Under 25</c:v>
                  </c:pt>
                </c:lvl>
              </c:multiLvlStrCache>
            </c:multiLvlStrRef>
          </c:cat>
          <c:val>
            <c:numRef>
              <c:f>'Age Vs Attrition'!$B$4:$B$24</c:f>
              <c:numCache>
                <c:formatCode>General</c:formatCode>
                <c:ptCount val="15"/>
                <c:pt idx="0">
                  <c:v>14</c:v>
                </c:pt>
                <c:pt idx="1">
                  <c:v>39</c:v>
                </c:pt>
                <c:pt idx="2">
                  <c:v>59</c:v>
                </c:pt>
                <c:pt idx="3">
                  <c:v>14</c:v>
                </c:pt>
                <c:pt idx="4">
                  <c:v>18</c:v>
                </c:pt>
                <c:pt idx="5">
                  <c:v>19</c:v>
                </c:pt>
                <c:pt idx="6">
                  <c:v>3</c:v>
                </c:pt>
                <c:pt idx="7">
                  <c:v>13</c:v>
                </c:pt>
                <c:pt idx="8">
                  <c:v>9</c:v>
                </c:pt>
                <c:pt idx="9">
                  <c:v>1</c:v>
                </c:pt>
                <c:pt idx="10">
                  <c:v>5</c:v>
                </c:pt>
                <c:pt idx="11">
                  <c:v>5</c:v>
                </c:pt>
                <c:pt idx="12">
                  <c:v>1</c:v>
                </c:pt>
                <c:pt idx="13">
                  <c:v>9</c:v>
                </c:pt>
                <c:pt idx="14">
                  <c:v>28</c:v>
                </c:pt>
              </c:numCache>
            </c:numRef>
          </c:val>
          <c:extLst>
            <c:ext xmlns:c16="http://schemas.microsoft.com/office/drawing/2014/chart" uri="{C3380CC4-5D6E-409C-BE32-E72D297353CC}">
              <c16:uniqueId val="{00000000-77DE-40E9-B80F-0281ACBE5CA3}"/>
            </c:ext>
          </c:extLst>
        </c:ser>
        <c:dLbls>
          <c:dLblPos val="outEnd"/>
          <c:showLegendKey val="0"/>
          <c:showVal val="1"/>
          <c:showCatName val="0"/>
          <c:showSerName val="0"/>
          <c:showPercent val="0"/>
          <c:showBubbleSize val="0"/>
        </c:dLbls>
        <c:gapWidth val="219"/>
        <c:overlap val="-27"/>
        <c:axId val="1103982640"/>
        <c:axId val="1103985040"/>
      </c:barChart>
      <c:catAx>
        <c:axId val="110398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985040"/>
        <c:crosses val="autoZero"/>
        <c:auto val="1"/>
        <c:lblAlgn val="ctr"/>
        <c:lblOffset val="100"/>
        <c:noMultiLvlLbl val="0"/>
      </c:catAx>
      <c:valAx>
        <c:axId val="11039850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0398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[Book1.xlsx]Education Vs Attrition!education_att</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Vs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Vs Attrition'!$A$4:$A$9</c:f>
              <c:strCache>
                <c:ptCount val="5"/>
                <c:pt idx="0">
                  <c:v>Doctoral Degree</c:v>
                </c:pt>
                <c:pt idx="1">
                  <c:v>High School</c:v>
                </c:pt>
                <c:pt idx="2">
                  <c:v>Associates Degree</c:v>
                </c:pt>
                <c:pt idx="3">
                  <c:v>Master's Degree</c:v>
                </c:pt>
                <c:pt idx="4">
                  <c:v>Bachelor's Degree</c:v>
                </c:pt>
              </c:strCache>
            </c:strRef>
          </c:cat>
          <c:val>
            <c:numRef>
              <c:f>'Education Vs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B54-4576-82ED-7BF65713A059}"/>
            </c:ext>
          </c:extLst>
        </c:ser>
        <c:dLbls>
          <c:dLblPos val="outEnd"/>
          <c:showLegendKey val="0"/>
          <c:showVal val="1"/>
          <c:showCatName val="0"/>
          <c:showSerName val="0"/>
          <c:showPercent val="0"/>
          <c:showBubbleSize val="0"/>
        </c:dLbls>
        <c:gapWidth val="182"/>
        <c:axId val="857302160"/>
        <c:axId val="857303120"/>
      </c:barChart>
      <c:catAx>
        <c:axId val="857302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03120"/>
        <c:crosses val="autoZero"/>
        <c:auto val="1"/>
        <c:lblAlgn val="ctr"/>
        <c:lblOffset val="100"/>
        <c:noMultiLvlLbl val="0"/>
      </c:catAx>
      <c:valAx>
        <c:axId val="857303120"/>
        <c:scaling>
          <c:orientation val="minMax"/>
        </c:scaling>
        <c:delete val="1"/>
        <c:axPos val="b"/>
        <c:numFmt formatCode="General" sourceLinked="1"/>
        <c:majorTickMark val="out"/>
        <c:minorTickMark val="none"/>
        <c:tickLblPos val="nextTo"/>
        <c:crossAx val="85730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501531625825311"/>
          <c:y val="5.7473947633810182E-2"/>
          <c:w val="0.60507912301083466"/>
          <c:h val="0.9425260523661898"/>
        </c:manualLayout>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1-F625-4189-A019-3EA405090550}"/>
              </c:ext>
            </c:extLst>
          </c:dPt>
          <c:dPt>
            <c:idx val="1"/>
            <c:bubble3D val="0"/>
            <c:spPr>
              <a:solidFill>
                <a:schemeClr val="bg2">
                  <a:lumMod val="90000"/>
                  <a:alpha val="95000"/>
                </a:schemeClr>
              </a:solidFill>
              <a:ln w="19050">
                <a:noFill/>
              </a:ln>
              <a:effectLst/>
            </c:spPr>
            <c:extLst>
              <c:ext xmlns:c16="http://schemas.microsoft.com/office/drawing/2014/chart" uri="{C3380CC4-5D6E-409C-BE32-E72D297353CC}">
                <c16:uniqueId val="{00000003-F625-4189-A019-3EA405090550}"/>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F625-4189-A019-3EA40509055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370989511074223E-3"/>
          <c:y val="0.29915953974624082"/>
          <c:w val="0.92487981193895552"/>
          <c:h val="0.48006743855958156"/>
        </c:manualLayout>
      </c:layout>
      <c:barChart>
        <c:barDir val="bar"/>
        <c:grouping val="stacked"/>
        <c:varyColors val="0"/>
        <c:ser>
          <c:idx val="0"/>
          <c:order val="0"/>
          <c:spPr>
            <a:solidFill>
              <a:schemeClr val="accent4">
                <a:lumMod val="75000"/>
              </a:schemeClr>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813D-4CED-A5D0-D58FE459BD2F}"/>
            </c:ext>
          </c:extLst>
        </c:ser>
        <c:ser>
          <c:idx val="1"/>
          <c:order val="1"/>
          <c:spPr>
            <a:solidFill>
              <a:schemeClr val="accent2"/>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2-813D-4CED-A5D0-D58FE459BD2F}"/>
              </c:ext>
            </c:extLst>
          </c:dPt>
          <c:val>
            <c:numRef>
              <c:f>Rating!$B$8</c:f>
              <c:numCache>
                <c:formatCode>0.0</c:formatCode>
                <c:ptCount val="1"/>
                <c:pt idx="0">
                  <c:v>1.3734693877551019</c:v>
                </c:pt>
              </c:numCache>
            </c:numRef>
          </c:val>
          <c:extLst>
            <c:ext xmlns:c16="http://schemas.microsoft.com/office/drawing/2014/chart" uri="{C3380CC4-5D6E-409C-BE32-E72D297353CC}">
              <c16:uniqueId val="{00000001-813D-4CED-A5D0-D58FE459BD2F}"/>
            </c:ext>
          </c:extLst>
        </c:ser>
        <c:dLbls>
          <c:showLegendKey val="0"/>
          <c:showVal val="0"/>
          <c:showCatName val="0"/>
          <c:showSerName val="0"/>
          <c:showPercent val="0"/>
          <c:showBubbleSize val="0"/>
        </c:dLbls>
        <c:gapWidth val="0"/>
        <c:overlap val="100"/>
        <c:axId val="361489391"/>
        <c:axId val="361489871"/>
      </c:barChart>
      <c:catAx>
        <c:axId val="361489391"/>
        <c:scaling>
          <c:orientation val="minMax"/>
        </c:scaling>
        <c:delete val="1"/>
        <c:axPos val="l"/>
        <c:majorTickMark val="none"/>
        <c:minorTickMark val="none"/>
        <c:tickLblPos val="nextTo"/>
        <c:crossAx val="361489871"/>
        <c:crosses val="autoZero"/>
        <c:auto val="1"/>
        <c:lblAlgn val="ctr"/>
        <c:lblOffset val="100"/>
        <c:noMultiLvlLbl val="0"/>
      </c:catAx>
      <c:valAx>
        <c:axId val="361489871"/>
        <c:scaling>
          <c:orientation val="minMax"/>
          <c:max val="4"/>
        </c:scaling>
        <c:delete val="1"/>
        <c:axPos val="b"/>
        <c:numFmt formatCode="0.0" sourceLinked="1"/>
        <c:majorTickMark val="none"/>
        <c:minorTickMark val="none"/>
        <c:tickLblPos val="nextTo"/>
        <c:crossAx val="36148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C244CC">
                      <a:alpha val="89804"/>
                    </a:srgbClr>
                  </a:gs>
                  <a:gs pos="100000">
                    <a:srgbClr val="FB8FFB">
                      <a:alpha val="89804"/>
                    </a:srgbClr>
                  </a:gs>
                </a:gsLst>
                <a:lin ang="5400000" scaled="1"/>
              </a:gradFill>
              <a:ln w="19050">
                <a:noFill/>
              </a:ln>
              <a:effectLst/>
            </c:spPr>
            <c:extLst>
              <c:ext xmlns:c16="http://schemas.microsoft.com/office/drawing/2014/chart" uri="{C3380CC4-5D6E-409C-BE32-E72D297353CC}">
                <c16:uniqueId val="{00000001-C1D5-4E97-B27C-A1A72B4A54C5}"/>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C1D5-4E97-B27C-A1A72B4A54C5}"/>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C1D5-4E97-B27C-A1A72B4A54C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schemeClr>
              </a:solidFill>
              <a:ln w="19050">
                <a:noFill/>
              </a:ln>
              <a:effectLst/>
            </c:spPr>
            <c:extLst>
              <c:ext xmlns:c16="http://schemas.microsoft.com/office/drawing/2014/chart" uri="{C3380CC4-5D6E-409C-BE32-E72D297353CC}">
                <c16:uniqueId val="{00000001-4BFD-42C8-A17C-0E74979A5690}"/>
              </c:ext>
            </c:extLst>
          </c:dPt>
          <c:dPt>
            <c:idx val="1"/>
            <c:bubble3D val="0"/>
            <c:spPr>
              <a:gradFill>
                <a:gsLst>
                  <a:gs pos="0">
                    <a:schemeClr val="accent1">
                      <a:lumMod val="50000"/>
                    </a:schemeClr>
                  </a:gs>
                  <a:gs pos="100000">
                    <a:schemeClr val="accent5">
                      <a:lumMod val="75000"/>
                    </a:schemeClr>
                  </a:gs>
                </a:gsLst>
                <a:lin ang="5400000" scaled="1"/>
              </a:gradFill>
              <a:ln w="19050">
                <a:solidFill>
                  <a:schemeClr val="lt1"/>
                </a:solidFill>
              </a:ln>
              <a:effectLst/>
            </c:spPr>
            <c:extLst>
              <c:ext xmlns:c16="http://schemas.microsoft.com/office/drawing/2014/chart" uri="{C3380CC4-5D6E-409C-BE32-E72D297353CC}">
                <c16:uniqueId val="{00000003-4BFD-42C8-A17C-0E74979A5690}"/>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4BFD-42C8-A17C-0E74979A569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[Book1.xlsx]Education Vs Attrition!education_att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1">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Vs Attrition'!$B$3</c:f>
              <c:strCache>
                <c:ptCount val="1"/>
                <c:pt idx="0">
                  <c:v>Total</c:v>
                </c:pt>
              </c:strCache>
            </c:strRef>
          </c:tx>
          <c:spPr>
            <a:gradFill>
              <a:gsLst>
                <a:gs pos="0">
                  <a:schemeClr val="accent2">
                    <a:lumMod val="75000"/>
                  </a:schemeClr>
                </a:gs>
                <a:gs pos="100000">
                  <a:schemeClr val="accent1">
                    <a:lumMod val="20000"/>
                    <a:lumOff val="8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Vs Attrition'!$A$4:$A$9</c:f>
              <c:strCache>
                <c:ptCount val="5"/>
                <c:pt idx="0">
                  <c:v>Doctoral Degree</c:v>
                </c:pt>
                <c:pt idx="1">
                  <c:v>High School</c:v>
                </c:pt>
                <c:pt idx="2">
                  <c:v>Associates Degree</c:v>
                </c:pt>
                <c:pt idx="3">
                  <c:v>Master's Degree</c:v>
                </c:pt>
                <c:pt idx="4">
                  <c:v>Bachelor's Degree</c:v>
                </c:pt>
              </c:strCache>
            </c:strRef>
          </c:cat>
          <c:val>
            <c:numRef>
              <c:f>'Education Vs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C2D-42DB-A07F-87DBAA454034}"/>
            </c:ext>
          </c:extLst>
        </c:ser>
        <c:dLbls>
          <c:dLblPos val="outEnd"/>
          <c:showLegendKey val="0"/>
          <c:showVal val="1"/>
          <c:showCatName val="0"/>
          <c:showSerName val="0"/>
          <c:showPercent val="0"/>
          <c:showBubbleSize val="0"/>
        </c:dLbls>
        <c:gapWidth val="70"/>
        <c:axId val="857302160"/>
        <c:axId val="857303120"/>
      </c:barChart>
      <c:catAx>
        <c:axId val="857302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57303120"/>
        <c:crosses val="autoZero"/>
        <c:auto val="1"/>
        <c:lblAlgn val="ctr"/>
        <c:lblOffset val="100"/>
        <c:noMultiLvlLbl val="0"/>
      </c:catAx>
      <c:valAx>
        <c:axId val="857303120"/>
        <c:scaling>
          <c:orientation val="minMax"/>
        </c:scaling>
        <c:delete val="1"/>
        <c:axPos val="b"/>
        <c:numFmt formatCode="General" sourceLinked="1"/>
        <c:majorTickMark val="out"/>
        <c:minorTickMark val="none"/>
        <c:tickLblPos val="nextTo"/>
        <c:crossAx val="85730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[Book1.xlsx]Age Vs Attrition!age_att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660000"/>
              </a:gs>
              <a:gs pos="100000">
                <a:srgbClr val="901C7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Vs Attrition'!$B$3</c:f>
              <c:strCache>
                <c:ptCount val="1"/>
                <c:pt idx="0">
                  <c:v>Total</c:v>
                </c:pt>
              </c:strCache>
            </c:strRef>
          </c:tx>
          <c:spPr>
            <a:gradFill>
              <a:gsLst>
                <a:gs pos="0">
                  <a:srgbClr val="660000"/>
                </a:gs>
                <a:gs pos="100000">
                  <a:srgbClr val="901C7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'Age Vs Attrition'!$A$4:$A$24</c:f>
              <c:multiLvlStrCache>
                <c:ptCount val="15"/>
                <c:lvl>
                  <c:pt idx="0">
                    <c:v>Divorced</c:v>
                  </c:pt>
                  <c:pt idx="1">
                    <c:v>Married</c:v>
                  </c:pt>
                  <c:pt idx="2">
                    <c:v>Single</c:v>
                  </c:pt>
                  <c:pt idx="3">
                    <c:v>Divorced</c:v>
                  </c:pt>
                  <c:pt idx="4">
                    <c:v>Married</c:v>
                  </c:pt>
                  <c:pt idx="5">
                    <c:v>Single</c:v>
                  </c:pt>
                  <c:pt idx="6">
                    <c:v>Divorced</c:v>
                  </c:pt>
                  <c:pt idx="7">
                    <c:v>Married</c:v>
                  </c:pt>
                  <c:pt idx="8">
                    <c:v>Single</c:v>
                  </c:pt>
                  <c:pt idx="9">
                    <c:v>Divorced</c:v>
                  </c:pt>
                  <c:pt idx="10">
                    <c:v>Married</c:v>
                  </c:pt>
                  <c:pt idx="11">
                    <c:v>Single</c:v>
                  </c:pt>
                  <c:pt idx="12">
                    <c:v>Divorced</c:v>
                  </c:pt>
                  <c:pt idx="13">
                    <c:v>Married</c:v>
                  </c:pt>
                  <c:pt idx="14">
                    <c:v>Single</c:v>
                  </c:pt>
                </c:lvl>
                <c:lvl>
                  <c:pt idx="0">
                    <c:v>25 - 34</c:v>
                  </c:pt>
                  <c:pt idx="3">
                    <c:v>35 - 44</c:v>
                  </c:pt>
                  <c:pt idx="6">
                    <c:v>45 - 54</c:v>
                  </c:pt>
                  <c:pt idx="9">
                    <c:v>Over 55</c:v>
                  </c:pt>
                  <c:pt idx="12">
                    <c:v>Under 25</c:v>
                  </c:pt>
                </c:lvl>
              </c:multiLvlStrCache>
            </c:multiLvlStrRef>
          </c:cat>
          <c:val>
            <c:numRef>
              <c:f>'Age Vs Attrition'!$B$4:$B$24</c:f>
              <c:numCache>
                <c:formatCode>General</c:formatCode>
                <c:ptCount val="15"/>
                <c:pt idx="0">
                  <c:v>14</c:v>
                </c:pt>
                <c:pt idx="1">
                  <c:v>39</c:v>
                </c:pt>
                <c:pt idx="2">
                  <c:v>59</c:v>
                </c:pt>
                <c:pt idx="3">
                  <c:v>14</c:v>
                </c:pt>
                <c:pt idx="4">
                  <c:v>18</c:v>
                </c:pt>
                <c:pt idx="5">
                  <c:v>19</c:v>
                </c:pt>
                <c:pt idx="6">
                  <c:v>3</c:v>
                </c:pt>
                <c:pt idx="7">
                  <c:v>13</c:v>
                </c:pt>
                <c:pt idx="8">
                  <c:v>9</c:v>
                </c:pt>
                <c:pt idx="9">
                  <c:v>1</c:v>
                </c:pt>
                <c:pt idx="10">
                  <c:v>5</c:v>
                </c:pt>
                <c:pt idx="11">
                  <c:v>5</c:v>
                </c:pt>
                <c:pt idx="12">
                  <c:v>1</c:v>
                </c:pt>
                <c:pt idx="13">
                  <c:v>9</c:v>
                </c:pt>
                <c:pt idx="14">
                  <c:v>28</c:v>
                </c:pt>
              </c:numCache>
            </c:numRef>
          </c:val>
          <c:extLst>
            <c:ext xmlns:c16="http://schemas.microsoft.com/office/drawing/2014/chart" uri="{C3380CC4-5D6E-409C-BE32-E72D297353CC}">
              <c16:uniqueId val="{00000000-7FA4-4804-805D-AC938A77665E}"/>
            </c:ext>
          </c:extLst>
        </c:ser>
        <c:dLbls>
          <c:dLblPos val="outEnd"/>
          <c:showLegendKey val="0"/>
          <c:showVal val="1"/>
          <c:showCatName val="0"/>
          <c:showSerName val="0"/>
          <c:showPercent val="0"/>
          <c:showBubbleSize val="0"/>
        </c:dLbls>
        <c:gapWidth val="150"/>
        <c:overlap val="-14"/>
        <c:axId val="1103982640"/>
        <c:axId val="1103985040"/>
      </c:barChart>
      <c:catAx>
        <c:axId val="1103982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03985040"/>
        <c:crosses val="autoZero"/>
        <c:auto val="1"/>
        <c:lblAlgn val="ctr"/>
        <c:lblOffset val="100"/>
        <c:noMultiLvlLbl val="0"/>
      </c:catAx>
      <c:valAx>
        <c:axId val="1103985040"/>
        <c:scaling>
          <c:orientation val="minMax"/>
        </c:scaling>
        <c:delete val="1"/>
        <c:axPos val="l"/>
        <c:numFmt formatCode="General" sourceLinked="1"/>
        <c:majorTickMark val="out"/>
        <c:minorTickMark val="none"/>
        <c:tickLblPos val="nextTo"/>
        <c:crossAx val="110398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[Book1.xlsx]Department Vs Attrition!Department_att</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0"/>
                </a:schemeClr>
              </a:gs>
              <a:gs pos="100000">
                <a:schemeClr val="accent1">
                  <a:lumMod val="75000"/>
                </a:schemeClr>
              </a:gs>
            </a:gsLst>
            <a:lin ang="10800000" scaled="0"/>
          </a:gradFill>
          <a:ln w="19050">
            <a:solidFill>
              <a:schemeClr val="lt1"/>
            </a:solidFill>
          </a:ln>
          <a:effectLst/>
        </c:spPr>
      </c:pivotFmt>
      <c:pivotFmt>
        <c:idx val="7"/>
        <c:spPr>
          <a:solidFill>
            <a:schemeClr val="accent1"/>
          </a:solidFill>
          <a:ln w="9525">
            <a:solidFill>
              <a:schemeClr val="bg1">
                <a:lumMod val="8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chemeClr val="accent3">
                  <a:lumMod val="50000"/>
                </a:schemeClr>
              </a:gs>
              <a:gs pos="100000">
                <a:schemeClr val="accent3">
                  <a:lumMod val="75000"/>
                </a:schemeClr>
              </a:gs>
            </a:gsLst>
            <a:lin ang="10800000" scaled="0"/>
          </a:gradFill>
          <a:ln w="19050">
            <a:solidFill>
              <a:schemeClr val="lt1"/>
            </a:solidFill>
          </a:ln>
          <a:effectLst/>
        </c:spPr>
      </c:pivotFmt>
    </c:pivotFmts>
    <c:plotArea>
      <c:layout/>
      <c:pieChart>
        <c:varyColors val="1"/>
        <c:ser>
          <c:idx val="0"/>
          <c:order val="0"/>
          <c:tx>
            <c:strRef>
              <c:f>'Department Vs Attrition'!$B$3</c:f>
              <c:strCache>
                <c:ptCount val="1"/>
                <c:pt idx="0">
                  <c:v>Total</c:v>
                </c:pt>
              </c:strCache>
            </c:strRef>
          </c:tx>
          <c:dPt>
            <c:idx val="0"/>
            <c:bubble3D val="0"/>
            <c:spPr>
              <a:gradFill>
                <a:gsLst>
                  <a:gs pos="0">
                    <a:schemeClr val="accent1">
                      <a:lumMod val="50000"/>
                    </a:schemeClr>
                  </a:gs>
                  <a:gs pos="100000">
                    <a:schemeClr val="accent1">
                      <a:lumMod val="75000"/>
                    </a:schemeClr>
                  </a:gs>
                </a:gsLst>
                <a:lin ang="10800000" scaled="0"/>
              </a:gradFill>
              <a:ln w="19050">
                <a:solidFill>
                  <a:schemeClr val="lt1"/>
                </a:solidFill>
              </a:ln>
              <a:effectLst/>
            </c:spPr>
            <c:extLst>
              <c:ext xmlns:c16="http://schemas.microsoft.com/office/drawing/2014/chart" uri="{C3380CC4-5D6E-409C-BE32-E72D297353CC}">
                <c16:uniqueId val="{00000001-C9FE-4260-B7B2-D8290C99A3F9}"/>
              </c:ext>
            </c:extLst>
          </c:dPt>
          <c:dPt>
            <c:idx val="1"/>
            <c:bubble3D val="0"/>
            <c:spPr>
              <a:solidFill>
                <a:schemeClr val="accent2"/>
              </a:solidFill>
              <a:ln w="9525">
                <a:solidFill>
                  <a:schemeClr val="bg1">
                    <a:lumMod val="85000"/>
                  </a:schemeClr>
                </a:solidFill>
              </a:ln>
              <a:effectLst/>
            </c:spPr>
            <c:extLst>
              <c:ext xmlns:c16="http://schemas.microsoft.com/office/drawing/2014/chart" uri="{C3380CC4-5D6E-409C-BE32-E72D297353CC}">
                <c16:uniqueId val="{00000003-C9FE-4260-B7B2-D8290C99A3F9}"/>
              </c:ext>
            </c:extLst>
          </c:dPt>
          <c:dPt>
            <c:idx val="2"/>
            <c:bubble3D val="0"/>
            <c:spPr>
              <a:gradFill>
                <a:gsLst>
                  <a:gs pos="0">
                    <a:schemeClr val="accent3">
                      <a:lumMod val="50000"/>
                    </a:schemeClr>
                  </a:gs>
                  <a:gs pos="100000">
                    <a:schemeClr val="accent3">
                      <a:lumMod val="75000"/>
                    </a:schemeClr>
                  </a:gs>
                </a:gsLst>
                <a:lin ang="10800000" scaled="0"/>
              </a:gradFill>
              <a:ln w="19050">
                <a:solidFill>
                  <a:schemeClr val="lt1"/>
                </a:solidFill>
              </a:ln>
              <a:effectLst/>
            </c:spPr>
            <c:extLst>
              <c:ext xmlns:c16="http://schemas.microsoft.com/office/drawing/2014/chart" uri="{C3380CC4-5D6E-409C-BE32-E72D297353CC}">
                <c16:uniqueId val="{00000005-C9FE-4260-B7B2-D8290C99A3F9}"/>
              </c:ext>
            </c:extLst>
          </c:dPt>
          <c:dLbls>
            <c:dLbl>
              <c:idx val="1"/>
              <c:delete val="1"/>
              <c:extLst>
                <c:ext xmlns:c15="http://schemas.microsoft.com/office/drawing/2012/chart" uri="{CE6537A1-D6FC-4f65-9D91-7224C49458BB}"/>
                <c:ext xmlns:c16="http://schemas.microsoft.com/office/drawing/2014/chart" uri="{C3380CC4-5D6E-409C-BE32-E72D297353CC}">
                  <c16:uniqueId val="{00000003-C9FE-4260-B7B2-D8290C99A3F9}"/>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Vs Attrition'!$A$4:$A$7</c:f>
              <c:strCache>
                <c:ptCount val="3"/>
                <c:pt idx="0">
                  <c:v>HR</c:v>
                </c:pt>
                <c:pt idx="1">
                  <c:v>R&amp;D</c:v>
                </c:pt>
                <c:pt idx="2">
                  <c:v>Sales</c:v>
                </c:pt>
              </c:strCache>
            </c:strRef>
          </c:cat>
          <c:val>
            <c:numRef>
              <c:f>'Department Vs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C9FE-4260-B7B2-D8290C99A3F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D85B41E5-ED3D-4A63-9224-47C544C191AE}">
          <cx:tx>
            <cx:txData>
              <cx:f>_xlchart.v1.1</cx:f>
              <cx:v>Attrition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D85B41E5-ED3D-4A63-9224-47C544C191AE}">
          <cx:tx>
            <cx:txData>
              <cx:f>_xlchart.v1.4</cx:f>
              <cx:v>Attrition</cx:v>
            </cx:txData>
          </cx:tx>
          <cx:dataPt idx="2">
            <cx:spPr>
              <a:solidFill>
                <a:srgbClr val="5B9BD5">
                  <a:lumMod val="75000"/>
                </a:srgbClr>
              </a:solidFill>
            </cx:spPr>
          </cx:dataPt>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0.xml"/><Relationship Id="rId18" Type="http://schemas.openxmlformats.org/officeDocument/2006/relationships/chart" Target="../charts/chart11.xml"/><Relationship Id="rId3" Type="http://schemas.openxmlformats.org/officeDocument/2006/relationships/image" Target="../media/image3.png"/><Relationship Id="rId21" Type="http://schemas.openxmlformats.org/officeDocument/2006/relationships/chart" Target="../charts/chart13.xml"/><Relationship Id="rId7" Type="http://schemas.openxmlformats.org/officeDocument/2006/relationships/image" Target="../media/image7.png"/><Relationship Id="rId12" Type="http://schemas.openxmlformats.org/officeDocument/2006/relationships/chart" Target="../charts/chart9.xml"/><Relationship Id="rId17" Type="http://schemas.openxmlformats.org/officeDocument/2006/relationships/image" Target="../media/image13.svg"/><Relationship Id="rId2" Type="http://schemas.openxmlformats.org/officeDocument/2006/relationships/image" Target="../media/image2.png"/><Relationship Id="rId16" Type="http://schemas.openxmlformats.org/officeDocument/2006/relationships/image" Target="../media/image12.png"/><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7.xml"/><Relationship Id="rId19"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91440</xdr:colOff>
      <xdr:row>6</xdr:row>
      <xdr:rowOff>148590</xdr:rowOff>
    </xdr:from>
    <xdr:to>
      <xdr:col>8</xdr:col>
      <xdr:colOff>312420</xdr:colOff>
      <xdr:row>17</xdr:row>
      <xdr:rowOff>15240</xdr:rowOff>
    </xdr:to>
    <xdr:graphicFrame macro="">
      <xdr:nvGraphicFramePr>
        <xdr:cNvPr id="2" name="Chart 1">
          <a:extLst>
            <a:ext uri="{FF2B5EF4-FFF2-40B4-BE49-F238E27FC236}">
              <a16:creationId xmlns:a16="http://schemas.microsoft.com/office/drawing/2014/main" id="{51A1A088-9707-1AAD-141B-052924DB3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121920</xdr:colOff>
      <xdr:row>5</xdr:row>
      <xdr:rowOff>179070</xdr:rowOff>
    </xdr:from>
    <xdr:to>
      <xdr:col>5</xdr:col>
      <xdr:colOff>571500</xdr:colOff>
      <xdr:row>9</xdr:row>
      <xdr:rowOff>45720</xdr:rowOff>
    </xdr:to>
    <xdr:graphicFrame macro="">
      <xdr:nvGraphicFramePr>
        <xdr:cNvPr id="2" name="Chart 1">
          <a:extLst>
            <a:ext uri="{FF2B5EF4-FFF2-40B4-BE49-F238E27FC236}">
              <a16:creationId xmlns:a16="http://schemas.microsoft.com/office/drawing/2014/main" id="{9F95B0F6-5615-0099-7A13-5A58F13B7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1264920</xdr:colOff>
      <xdr:row>15</xdr:row>
      <xdr:rowOff>45720</xdr:rowOff>
    </xdr:from>
    <xdr:to>
      <xdr:col>5</xdr:col>
      <xdr:colOff>99060</xdr:colOff>
      <xdr:row>18</xdr:row>
      <xdr:rowOff>22860</xdr:rowOff>
    </xdr:to>
    <xdr:graphicFrame macro="">
      <xdr:nvGraphicFramePr>
        <xdr:cNvPr id="4" name="Chart 3">
          <a:extLst>
            <a:ext uri="{FF2B5EF4-FFF2-40B4-BE49-F238E27FC236}">
              <a16:creationId xmlns:a16="http://schemas.microsoft.com/office/drawing/2014/main" id="{1C648D9B-2CB9-534B-FA27-E74E42314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388620</xdr:colOff>
      <xdr:row>1</xdr:row>
      <xdr:rowOff>45721</xdr:rowOff>
    </xdr:from>
    <xdr:to>
      <xdr:col>11</xdr:col>
      <xdr:colOff>388620</xdr:colOff>
      <xdr:row>7</xdr:row>
      <xdr:rowOff>106681</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706FA742-7ED4-DB85-6A54-56631484A68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01740" y="22860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312420</xdr:colOff>
      <xdr:row>9</xdr:row>
      <xdr:rowOff>30481</xdr:rowOff>
    </xdr:from>
    <xdr:to>
      <xdr:col>13</xdr:col>
      <xdr:colOff>312420</xdr:colOff>
      <xdr:row>18</xdr:row>
      <xdr:rowOff>60961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89CF0E0A-14C6-10AB-0BFB-2BD154938CA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444740" y="167640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68580</xdr:colOff>
      <xdr:row>1</xdr:row>
      <xdr:rowOff>30480</xdr:rowOff>
    </xdr:from>
    <xdr:to>
      <xdr:col>9</xdr:col>
      <xdr:colOff>68580</xdr:colOff>
      <xdr:row>14</xdr:row>
      <xdr:rowOff>120015</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EBC740EF-FFA5-7E18-6565-AB4E5DA0F38F}"/>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067300" y="21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251460</xdr:colOff>
      <xdr:row>1</xdr:row>
      <xdr:rowOff>53340</xdr:rowOff>
    </xdr:from>
    <xdr:to>
      <xdr:col>12</xdr:col>
      <xdr:colOff>251460</xdr:colOff>
      <xdr:row>14</xdr:row>
      <xdr:rowOff>142875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86806368-F5C1-68C2-CE52-A994B1A3F97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078980" y="236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182880</xdr:colOff>
      <xdr:row>13</xdr:row>
      <xdr:rowOff>64770</xdr:rowOff>
    </xdr:from>
    <xdr:to>
      <xdr:col>1</xdr:col>
      <xdr:colOff>754380</xdr:colOff>
      <xdr:row>20</xdr:row>
      <xdr:rowOff>0</xdr:rowOff>
    </xdr:to>
    <xdr:graphicFrame macro="">
      <xdr:nvGraphicFramePr>
        <xdr:cNvPr id="4" name="Chart 3">
          <a:extLst>
            <a:ext uri="{FF2B5EF4-FFF2-40B4-BE49-F238E27FC236}">
              <a16:creationId xmlns:a16="http://schemas.microsoft.com/office/drawing/2014/main" id="{2C54B4F6-70A4-F379-720C-A5073DBD0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518160</xdr:colOff>
      <xdr:row>4</xdr:row>
      <xdr:rowOff>125730</xdr:rowOff>
    </xdr:from>
    <xdr:to>
      <xdr:col>10</xdr:col>
      <xdr:colOff>213360</xdr:colOff>
      <xdr:row>19</xdr:row>
      <xdr:rowOff>125730</xdr:rowOff>
    </xdr:to>
    <xdr:graphicFrame macro="">
      <xdr:nvGraphicFramePr>
        <xdr:cNvPr id="2" name="Chart 1">
          <a:extLst>
            <a:ext uri="{FF2B5EF4-FFF2-40B4-BE49-F238E27FC236}">
              <a16:creationId xmlns:a16="http://schemas.microsoft.com/office/drawing/2014/main" id="{AB81B844-AF14-B324-1DEF-043C72103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129540</xdr:colOff>
      <xdr:row>2</xdr:row>
      <xdr:rowOff>95250</xdr:rowOff>
    </xdr:from>
    <xdr:to>
      <xdr:col>13</xdr:col>
      <xdr:colOff>434340</xdr:colOff>
      <xdr:row>17</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D4996E4-8B3D-1582-587E-D6F77CCBD1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59880" y="4610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236220</xdr:colOff>
      <xdr:row>3</xdr:row>
      <xdr:rowOff>118110</xdr:rowOff>
    </xdr:from>
    <xdr:to>
      <xdr:col>10</xdr:col>
      <xdr:colOff>541020</xdr:colOff>
      <xdr:row>18</xdr:row>
      <xdr:rowOff>118110</xdr:rowOff>
    </xdr:to>
    <xdr:graphicFrame macro="">
      <xdr:nvGraphicFramePr>
        <xdr:cNvPr id="2" name="Chart 1">
          <a:extLst>
            <a:ext uri="{FF2B5EF4-FFF2-40B4-BE49-F238E27FC236}">
              <a16:creationId xmlns:a16="http://schemas.microsoft.com/office/drawing/2014/main" id="{F1B269FF-93CC-ED5D-0180-D1FB223E9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91440</xdr:colOff>
      <xdr:row>2</xdr:row>
      <xdr:rowOff>129540</xdr:rowOff>
    </xdr:from>
    <xdr:to>
      <xdr:col>18</xdr:col>
      <xdr:colOff>91440</xdr:colOff>
      <xdr:row>16</xdr:row>
      <xdr:rowOff>36195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A53B93F2-8A10-1862-CA90-2A17155AD29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728960" y="495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297180</xdr:colOff>
      <xdr:row>3</xdr:row>
      <xdr:rowOff>7620</xdr:rowOff>
    </xdr:from>
    <xdr:to>
      <xdr:col>14</xdr:col>
      <xdr:colOff>297180</xdr:colOff>
      <xdr:row>16</xdr:row>
      <xdr:rowOff>97155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4CB9BBA4-1A1F-EC72-7BFC-E66D04D0A296}"/>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8496300" y="556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5</xdr:row>
      <xdr:rowOff>0</xdr:rowOff>
    </xdr:from>
    <xdr:to>
      <xdr:col>24</xdr:col>
      <xdr:colOff>0</xdr:colOff>
      <xdr:row>42</xdr:row>
      <xdr:rowOff>91440</xdr:rowOff>
    </xdr:to>
    <xdr:pic>
      <xdr:nvPicPr>
        <xdr:cNvPr id="2" name="Picture 1">
          <a:extLst>
            <a:ext uri="{FF2B5EF4-FFF2-40B4-BE49-F238E27FC236}">
              <a16:creationId xmlns:a16="http://schemas.microsoft.com/office/drawing/2014/main" id="{F29B1E26-C9A3-6ADE-E70A-424C8F2996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0" y="914400"/>
          <a:ext cx="12192000" cy="6858000"/>
        </a:xfrm>
        <a:prstGeom prst="rect">
          <a:avLst/>
        </a:prstGeom>
      </xdr:spPr>
    </xdr:pic>
    <xdr:clientData/>
  </xdr:twoCellAnchor>
  <xdr:twoCellAnchor>
    <xdr:from>
      <xdr:col>4</xdr:col>
      <xdr:colOff>70339</xdr:colOff>
      <xdr:row>5</xdr:row>
      <xdr:rowOff>93784</xdr:rowOff>
    </xdr:from>
    <xdr:to>
      <xdr:col>23</xdr:col>
      <xdr:colOff>504093</xdr:colOff>
      <xdr:row>42</xdr:row>
      <xdr:rowOff>-1</xdr:rowOff>
    </xdr:to>
    <xdr:sp macro="" textlink="">
      <xdr:nvSpPr>
        <xdr:cNvPr id="3" name="Freeform: Shape 2">
          <a:extLst>
            <a:ext uri="{FF2B5EF4-FFF2-40B4-BE49-F238E27FC236}">
              <a16:creationId xmlns:a16="http://schemas.microsoft.com/office/drawing/2014/main" id="{6640C133-3DDF-3309-2F94-60512CA0FA6F}"/>
            </a:ext>
          </a:extLst>
        </xdr:cNvPr>
        <xdr:cNvSpPr/>
      </xdr:nvSpPr>
      <xdr:spPr>
        <a:xfrm>
          <a:off x="2508739" y="1031630"/>
          <a:ext cx="12016154" cy="6846277"/>
        </a:xfrm>
        <a:custGeom>
          <a:avLst/>
          <a:gdLst>
            <a:gd name="connsiteX0" fmla="*/ 9584321 w 11975180"/>
            <a:gd name="connsiteY0" fmla="*/ 4092574 h 6627042"/>
            <a:gd name="connsiteX1" fmla="*/ 11975180 w 11975180"/>
            <a:gd name="connsiteY1" fmla="*/ 4092574 h 6627042"/>
            <a:gd name="connsiteX2" fmla="*/ 11975180 w 11975180"/>
            <a:gd name="connsiteY2" fmla="*/ 6627042 h 6627042"/>
            <a:gd name="connsiteX3" fmla="*/ 9584321 w 11975180"/>
            <a:gd name="connsiteY3" fmla="*/ 6627042 h 6627042"/>
            <a:gd name="connsiteX4" fmla="*/ 3583571 w 11975180"/>
            <a:gd name="connsiteY4" fmla="*/ 4092574 h 6627042"/>
            <a:gd name="connsiteX5" fmla="*/ 9531069 w 11975180"/>
            <a:gd name="connsiteY5" fmla="*/ 4092574 h 6627042"/>
            <a:gd name="connsiteX6" fmla="*/ 9531069 w 11975180"/>
            <a:gd name="connsiteY6" fmla="*/ 6627042 h 6627042"/>
            <a:gd name="connsiteX7" fmla="*/ 3583571 w 11975180"/>
            <a:gd name="connsiteY7" fmla="*/ 6627042 h 6627042"/>
            <a:gd name="connsiteX8" fmla="*/ 0 w 11975180"/>
            <a:gd name="connsiteY8" fmla="*/ 4092574 h 6627042"/>
            <a:gd name="connsiteX9" fmla="*/ 3530319 w 11975180"/>
            <a:gd name="connsiteY9" fmla="*/ 4092574 h 6627042"/>
            <a:gd name="connsiteX10" fmla="*/ 3530319 w 11975180"/>
            <a:gd name="connsiteY10" fmla="*/ 6627042 h 6627042"/>
            <a:gd name="connsiteX11" fmla="*/ 0 w 11975180"/>
            <a:gd name="connsiteY11" fmla="*/ 6627042 h 6627042"/>
            <a:gd name="connsiteX12" fmla="*/ 7939672 w 11975180"/>
            <a:gd name="connsiteY12" fmla="*/ 1611360 h 6627042"/>
            <a:gd name="connsiteX13" fmla="*/ 11975180 w 11975180"/>
            <a:gd name="connsiteY13" fmla="*/ 1611360 h 6627042"/>
            <a:gd name="connsiteX14" fmla="*/ 11975180 w 11975180"/>
            <a:gd name="connsiteY14" fmla="*/ 4039322 h 6627042"/>
            <a:gd name="connsiteX15" fmla="*/ 7939672 w 11975180"/>
            <a:gd name="connsiteY15" fmla="*/ 4039322 h 6627042"/>
            <a:gd name="connsiteX16" fmla="*/ 3583573 w 11975180"/>
            <a:gd name="connsiteY16" fmla="*/ 1611360 h 6627042"/>
            <a:gd name="connsiteX17" fmla="*/ 7886420 w 11975180"/>
            <a:gd name="connsiteY17" fmla="*/ 1611360 h 6627042"/>
            <a:gd name="connsiteX18" fmla="*/ 7886420 w 11975180"/>
            <a:gd name="connsiteY18" fmla="*/ 4039322 h 6627042"/>
            <a:gd name="connsiteX19" fmla="*/ 3583573 w 11975180"/>
            <a:gd name="connsiteY19" fmla="*/ 4039322 h 6627042"/>
            <a:gd name="connsiteX20" fmla="*/ 0 w 11975180"/>
            <a:gd name="connsiteY20" fmla="*/ 1611360 h 6627042"/>
            <a:gd name="connsiteX21" fmla="*/ 3530321 w 11975180"/>
            <a:gd name="connsiteY21" fmla="*/ 1611360 h 6627042"/>
            <a:gd name="connsiteX22" fmla="*/ 3530321 w 11975180"/>
            <a:gd name="connsiteY22" fmla="*/ 4039322 h 6627042"/>
            <a:gd name="connsiteX23" fmla="*/ 0 w 11975180"/>
            <a:gd name="connsiteY23" fmla="*/ 4039322 h 6627042"/>
            <a:gd name="connsiteX24" fmla="*/ 9750730 w 11975180"/>
            <a:gd name="connsiteY24" fmla="*/ 597489 h 6627042"/>
            <a:gd name="connsiteX25" fmla="*/ 11975180 w 11975180"/>
            <a:gd name="connsiteY25" fmla="*/ 597489 h 6627042"/>
            <a:gd name="connsiteX26" fmla="*/ 11975180 w 11975180"/>
            <a:gd name="connsiteY26" fmla="*/ 1558108 h 6627042"/>
            <a:gd name="connsiteX27" fmla="*/ 9750730 w 11975180"/>
            <a:gd name="connsiteY27" fmla="*/ 1558108 h 6627042"/>
            <a:gd name="connsiteX28" fmla="*/ 7257044 w 11975180"/>
            <a:gd name="connsiteY28" fmla="*/ 597489 h 6627042"/>
            <a:gd name="connsiteX29" fmla="*/ 9697478 w 11975180"/>
            <a:gd name="connsiteY29" fmla="*/ 597489 h 6627042"/>
            <a:gd name="connsiteX30" fmla="*/ 9697478 w 11975180"/>
            <a:gd name="connsiteY30" fmla="*/ 1558108 h 6627042"/>
            <a:gd name="connsiteX31" fmla="*/ 7257044 w 11975180"/>
            <a:gd name="connsiteY31" fmla="*/ 1558108 h 6627042"/>
            <a:gd name="connsiteX32" fmla="*/ 5420309 w 11975180"/>
            <a:gd name="connsiteY32" fmla="*/ 597489 h 6627042"/>
            <a:gd name="connsiteX33" fmla="*/ 7203792 w 11975180"/>
            <a:gd name="connsiteY33" fmla="*/ 597489 h 6627042"/>
            <a:gd name="connsiteX34" fmla="*/ 7203792 w 11975180"/>
            <a:gd name="connsiteY34" fmla="*/ 1558108 h 6627042"/>
            <a:gd name="connsiteX35" fmla="*/ 5420309 w 11975180"/>
            <a:gd name="connsiteY35" fmla="*/ 1558108 h 6627042"/>
            <a:gd name="connsiteX36" fmla="*/ 1746837 w 11975180"/>
            <a:gd name="connsiteY36" fmla="*/ 597489 h 6627042"/>
            <a:gd name="connsiteX37" fmla="*/ 3530321 w 11975180"/>
            <a:gd name="connsiteY37" fmla="*/ 597489 h 6627042"/>
            <a:gd name="connsiteX38" fmla="*/ 3530321 w 11975180"/>
            <a:gd name="connsiteY38" fmla="*/ 1558107 h 6627042"/>
            <a:gd name="connsiteX39" fmla="*/ 3583573 w 11975180"/>
            <a:gd name="connsiteY39" fmla="*/ 1558107 h 6627042"/>
            <a:gd name="connsiteX40" fmla="*/ 3583573 w 11975180"/>
            <a:gd name="connsiteY40" fmla="*/ 597489 h 6627042"/>
            <a:gd name="connsiteX41" fmla="*/ 5367057 w 11975180"/>
            <a:gd name="connsiteY41" fmla="*/ 597489 h 6627042"/>
            <a:gd name="connsiteX42" fmla="*/ 5367057 w 11975180"/>
            <a:gd name="connsiteY42" fmla="*/ 1558108 h 6627042"/>
            <a:gd name="connsiteX43" fmla="*/ 1746837 w 11975180"/>
            <a:gd name="connsiteY43" fmla="*/ 1558108 h 6627042"/>
            <a:gd name="connsiteX44" fmla="*/ 0 w 11975180"/>
            <a:gd name="connsiteY44" fmla="*/ 597489 h 6627042"/>
            <a:gd name="connsiteX45" fmla="*/ 1693585 w 11975180"/>
            <a:gd name="connsiteY45" fmla="*/ 597489 h 6627042"/>
            <a:gd name="connsiteX46" fmla="*/ 1693585 w 11975180"/>
            <a:gd name="connsiteY46" fmla="*/ 1558108 h 6627042"/>
            <a:gd name="connsiteX47" fmla="*/ 0 w 11975180"/>
            <a:gd name="connsiteY47" fmla="*/ 1558108 h 6627042"/>
            <a:gd name="connsiteX48" fmla="*/ 3585523 w 11975180"/>
            <a:gd name="connsiteY48" fmla="*/ 0 h 6627042"/>
            <a:gd name="connsiteX49" fmla="*/ 11975180 w 11975180"/>
            <a:gd name="connsiteY49" fmla="*/ 0 h 6627042"/>
            <a:gd name="connsiteX50" fmla="*/ 11975180 w 11975180"/>
            <a:gd name="connsiteY50" fmla="*/ 544237 h 6627042"/>
            <a:gd name="connsiteX51" fmla="*/ 3585523 w 11975180"/>
            <a:gd name="connsiteY51" fmla="*/ 544237 h 6627042"/>
            <a:gd name="connsiteX52" fmla="*/ 0 w 11975180"/>
            <a:gd name="connsiteY52" fmla="*/ 0 h 6627042"/>
            <a:gd name="connsiteX53" fmla="*/ 1693586 w 11975180"/>
            <a:gd name="connsiteY53" fmla="*/ 0 h 6627042"/>
            <a:gd name="connsiteX54" fmla="*/ 1693586 w 11975180"/>
            <a:gd name="connsiteY54" fmla="*/ 539999 h 6627042"/>
            <a:gd name="connsiteX55" fmla="*/ 1746838 w 11975180"/>
            <a:gd name="connsiteY55" fmla="*/ 539999 h 6627042"/>
            <a:gd name="connsiteX56" fmla="*/ 1746838 w 11975180"/>
            <a:gd name="connsiteY56" fmla="*/ 0 h 6627042"/>
            <a:gd name="connsiteX57" fmla="*/ 3532271 w 11975180"/>
            <a:gd name="connsiteY57" fmla="*/ 0 h 6627042"/>
            <a:gd name="connsiteX58" fmla="*/ 3532271 w 11975180"/>
            <a:gd name="connsiteY58" fmla="*/ 544237 h 6627042"/>
            <a:gd name="connsiteX59" fmla="*/ 0 w 11975180"/>
            <a:gd name="connsiteY59" fmla="*/ 544237 h 66270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Lst>
          <a:rect l="l" t="t" r="r" b="b"/>
          <a:pathLst>
            <a:path w="11975180" h="6627042">
              <a:moveTo>
                <a:pt x="9584321" y="4092574"/>
              </a:moveTo>
              <a:lnTo>
                <a:pt x="11975180" y="4092574"/>
              </a:lnTo>
              <a:lnTo>
                <a:pt x="11975180" y="6627042"/>
              </a:lnTo>
              <a:lnTo>
                <a:pt x="9584321" y="6627042"/>
              </a:lnTo>
              <a:close/>
              <a:moveTo>
                <a:pt x="3583571" y="4092574"/>
              </a:moveTo>
              <a:lnTo>
                <a:pt x="9531069" y="4092574"/>
              </a:lnTo>
              <a:lnTo>
                <a:pt x="9531069" y="6627042"/>
              </a:lnTo>
              <a:lnTo>
                <a:pt x="3583571" y="6627042"/>
              </a:lnTo>
              <a:close/>
              <a:moveTo>
                <a:pt x="0" y="4092574"/>
              </a:moveTo>
              <a:lnTo>
                <a:pt x="3530319" y="4092574"/>
              </a:lnTo>
              <a:lnTo>
                <a:pt x="3530319" y="6627042"/>
              </a:lnTo>
              <a:lnTo>
                <a:pt x="0" y="6627042"/>
              </a:lnTo>
              <a:close/>
              <a:moveTo>
                <a:pt x="7939672" y="1611360"/>
              </a:moveTo>
              <a:lnTo>
                <a:pt x="11975180" y="1611360"/>
              </a:lnTo>
              <a:lnTo>
                <a:pt x="11975180" y="4039322"/>
              </a:lnTo>
              <a:lnTo>
                <a:pt x="7939672" y="4039322"/>
              </a:lnTo>
              <a:close/>
              <a:moveTo>
                <a:pt x="3583573" y="1611360"/>
              </a:moveTo>
              <a:lnTo>
                <a:pt x="7886420" y="1611360"/>
              </a:lnTo>
              <a:lnTo>
                <a:pt x="7886420" y="4039322"/>
              </a:lnTo>
              <a:lnTo>
                <a:pt x="3583573" y="4039322"/>
              </a:lnTo>
              <a:close/>
              <a:moveTo>
                <a:pt x="0" y="1611360"/>
              </a:moveTo>
              <a:lnTo>
                <a:pt x="3530321" y="1611360"/>
              </a:lnTo>
              <a:lnTo>
                <a:pt x="3530321" y="4039322"/>
              </a:lnTo>
              <a:lnTo>
                <a:pt x="0" y="4039322"/>
              </a:lnTo>
              <a:close/>
              <a:moveTo>
                <a:pt x="9750730" y="597489"/>
              </a:moveTo>
              <a:lnTo>
                <a:pt x="11975180" y="597489"/>
              </a:lnTo>
              <a:lnTo>
                <a:pt x="11975180" y="1558108"/>
              </a:lnTo>
              <a:lnTo>
                <a:pt x="9750730" y="1558108"/>
              </a:lnTo>
              <a:close/>
              <a:moveTo>
                <a:pt x="7257044" y="597489"/>
              </a:moveTo>
              <a:lnTo>
                <a:pt x="9697478" y="597489"/>
              </a:lnTo>
              <a:lnTo>
                <a:pt x="9697478" y="1558108"/>
              </a:lnTo>
              <a:lnTo>
                <a:pt x="7257044" y="1558108"/>
              </a:lnTo>
              <a:close/>
              <a:moveTo>
                <a:pt x="5420309" y="597489"/>
              </a:moveTo>
              <a:lnTo>
                <a:pt x="7203792" y="597489"/>
              </a:lnTo>
              <a:lnTo>
                <a:pt x="7203792" y="1558108"/>
              </a:lnTo>
              <a:lnTo>
                <a:pt x="5420309" y="1558108"/>
              </a:lnTo>
              <a:close/>
              <a:moveTo>
                <a:pt x="1746837" y="597489"/>
              </a:moveTo>
              <a:lnTo>
                <a:pt x="3530321" y="597489"/>
              </a:lnTo>
              <a:lnTo>
                <a:pt x="3530321" y="1558107"/>
              </a:lnTo>
              <a:lnTo>
                <a:pt x="3583573" y="1558107"/>
              </a:lnTo>
              <a:lnTo>
                <a:pt x="3583573" y="597489"/>
              </a:lnTo>
              <a:lnTo>
                <a:pt x="5367057" y="597489"/>
              </a:lnTo>
              <a:lnTo>
                <a:pt x="5367057" y="1558108"/>
              </a:lnTo>
              <a:lnTo>
                <a:pt x="1746837" y="1558108"/>
              </a:lnTo>
              <a:close/>
              <a:moveTo>
                <a:pt x="0" y="597489"/>
              </a:moveTo>
              <a:lnTo>
                <a:pt x="1693585" y="597489"/>
              </a:lnTo>
              <a:lnTo>
                <a:pt x="1693585" y="1558108"/>
              </a:lnTo>
              <a:lnTo>
                <a:pt x="0" y="1558108"/>
              </a:lnTo>
              <a:close/>
              <a:moveTo>
                <a:pt x="3585523" y="0"/>
              </a:moveTo>
              <a:lnTo>
                <a:pt x="11975180" y="0"/>
              </a:lnTo>
              <a:lnTo>
                <a:pt x="11975180" y="544237"/>
              </a:lnTo>
              <a:lnTo>
                <a:pt x="3585523" y="544237"/>
              </a:lnTo>
              <a:close/>
              <a:moveTo>
                <a:pt x="0" y="0"/>
              </a:moveTo>
              <a:lnTo>
                <a:pt x="1693586" y="0"/>
              </a:lnTo>
              <a:lnTo>
                <a:pt x="1693586" y="539999"/>
              </a:lnTo>
              <a:lnTo>
                <a:pt x="1746838" y="539999"/>
              </a:lnTo>
              <a:lnTo>
                <a:pt x="1746838" y="0"/>
              </a:lnTo>
              <a:lnTo>
                <a:pt x="3532271" y="0"/>
              </a:lnTo>
              <a:lnTo>
                <a:pt x="3532271" y="544237"/>
              </a:lnTo>
              <a:lnTo>
                <a:pt x="0" y="544237"/>
              </a:lnTo>
              <a:close/>
            </a:path>
          </a:pathLst>
        </a:custGeom>
        <a:gradFill>
          <a:gsLst>
            <a:gs pos="0">
              <a:schemeClr val="accent2">
                <a:lumMod val="20000"/>
                <a:lumOff val="80000"/>
                <a:alpha val="90000"/>
              </a:schemeClr>
            </a:gs>
            <a:gs pos="100000">
              <a:srgbClr val="FE7676">
                <a:alpha val="92549"/>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0</xdr:colOff>
      <xdr:row>5</xdr:row>
      <xdr:rowOff>0</xdr:rowOff>
    </xdr:from>
    <xdr:to>
      <xdr:col>26</xdr:col>
      <xdr:colOff>0</xdr:colOff>
      <xdr:row>42</xdr:row>
      <xdr:rowOff>91440</xdr:rowOff>
    </xdr:to>
    <xdr:pic>
      <xdr:nvPicPr>
        <xdr:cNvPr id="2" name="Picture 1">
          <a:extLst>
            <a:ext uri="{FF2B5EF4-FFF2-40B4-BE49-F238E27FC236}">
              <a16:creationId xmlns:a16="http://schemas.microsoft.com/office/drawing/2014/main" id="{E020DC24-90C9-FABA-832B-C56800B612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57600" y="914400"/>
          <a:ext cx="12192000" cy="6858000"/>
        </a:xfrm>
        <a:prstGeom prst="rect">
          <a:avLst/>
        </a:prstGeom>
      </xdr:spPr>
    </xdr:pic>
    <xdr:clientData/>
  </xdr:twoCellAnchor>
  <xdr:twoCellAnchor>
    <xdr:from>
      <xdr:col>6</xdr:col>
      <xdr:colOff>81642</xdr:colOff>
      <xdr:row>5</xdr:row>
      <xdr:rowOff>84364</xdr:rowOff>
    </xdr:from>
    <xdr:to>
      <xdr:col>25</xdr:col>
      <xdr:colOff>530678</xdr:colOff>
      <xdr:row>42</xdr:row>
      <xdr:rowOff>13607</xdr:rowOff>
    </xdr:to>
    <xdr:sp macro="" textlink="">
      <xdr:nvSpPr>
        <xdr:cNvPr id="3" name="Freeform: Shape 2">
          <a:extLst>
            <a:ext uri="{FF2B5EF4-FFF2-40B4-BE49-F238E27FC236}">
              <a16:creationId xmlns:a16="http://schemas.microsoft.com/office/drawing/2014/main" id="{8747E9D9-0E17-2634-D5D9-B3D4523EEE5D}"/>
            </a:ext>
          </a:extLst>
        </xdr:cNvPr>
        <xdr:cNvSpPr/>
      </xdr:nvSpPr>
      <xdr:spPr>
        <a:xfrm>
          <a:off x="3724955" y="977333"/>
          <a:ext cx="11986192" cy="6537212"/>
        </a:xfrm>
        <a:custGeom>
          <a:avLst/>
          <a:gdLst>
            <a:gd name="connsiteX0" fmla="*/ 9584321 w 11975180"/>
            <a:gd name="connsiteY0" fmla="*/ 4092574 h 6627042"/>
            <a:gd name="connsiteX1" fmla="*/ 11975180 w 11975180"/>
            <a:gd name="connsiteY1" fmla="*/ 4092574 h 6627042"/>
            <a:gd name="connsiteX2" fmla="*/ 11975180 w 11975180"/>
            <a:gd name="connsiteY2" fmla="*/ 6627042 h 6627042"/>
            <a:gd name="connsiteX3" fmla="*/ 9584321 w 11975180"/>
            <a:gd name="connsiteY3" fmla="*/ 6627042 h 6627042"/>
            <a:gd name="connsiteX4" fmla="*/ 3583571 w 11975180"/>
            <a:gd name="connsiteY4" fmla="*/ 4092574 h 6627042"/>
            <a:gd name="connsiteX5" fmla="*/ 9531069 w 11975180"/>
            <a:gd name="connsiteY5" fmla="*/ 4092574 h 6627042"/>
            <a:gd name="connsiteX6" fmla="*/ 9531069 w 11975180"/>
            <a:gd name="connsiteY6" fmla="*/ 6627042 h 6627042"/>
            <a:gd name="connsiteX7" fmla="*/ 3583571 w 11975180"/>
            <a:gd name="connsiteY7" fmla="*/ 6627042 h 6627042"/>
            <a:gd name="connsiteX8" fmla="*/ 0 w 11975180"/>
            <a:gd name="connsiteY8" fmla="*/ 4092574 h 6627042"/>
            <a:gd name="connsiteX9" fmla="*/ 3530319 w 11975180"/>
            <a:gd name="connsiteY9" fmla="*/ 4092574 h 6627042"/>
            <a:gd name="connsiteX10" fmla="*/ 3530319 w 11975180"/>
            <a:gd name="connsiteY10" fmla="*/ 6627042 h 6627042"/>
            <a:gd name="connsiteX11" fmla="*/ 0 w 11975180"/>
            <a:gd name="connsiteY11" fmla="*/ 6627042 h 6627042"/>
            <a:gd name="connsiteX12" fmla="*/ 7939672 w 11975180"/>
            <a:gd name="connsiteY12" fmla="*/ 1611360 h 6627042"/>
            <a:gd name="connsiteX13" fmla="*/ 11975180 w 11975180"/>
            <a:gd name="connsiteY13" fmla="*/ 1611360 h 6627042"/>
            <a:gd name="connsiteX14" fmla="*/ 11975180 w 11975180"/>
            <a:gd name="connsiteY14" fmla="*/ 4039322 h 6627042"/>
            <a:gd name="connsiteX15" fmla="*/ 7939672 w 11975180"/>
            <a:gd name="connsiteY15" fmla="*/ 4039322 h 6627042"/>
            <a:gd name="connsiteX16" fmla="*/ 3583573 w 11975180"/>
            <a:gd name="connsiteY16" fmla="*/ 1611360 h 6627042"/>
            <a:gd name="connsiteX17" fmla="*/ 7886420 w 11975180"/>
            <a:gd name="connsiteY17" fmla="*/ 1611360 h 6627042"/>
            <a:gd name="connsiteX18" fmla="*/ 7886420 w 11975180"/>
            <a:gd name="connsiteY18" fmla="*/ 4039322 h 6627042"/>
            <a:gd name="connsiteX19" fmla="*/ 3583573 w 11975180"/>
            <a:gd name="connsiteY19" fmla="*/ 4039322 h 6627042"/>
            <a:gd name="connsiteX20" fmla="*/ 0 w 11975180"/>
            <a:gd name="connsiteY20" fmla="*/ 1611360 h 6627042"/>
            <a:gd name="connsiteX21" fmla="*/ 3530321 w 11975180"/>
            <a:gd name="connsiteY21" fmla="*/ 1611360 h 6627042"/>
            <a:gd name="connsiteX22" fmla="*/ 3530321 w 11975180"/>
            <a:gd name="connsiteY22" fmla="*/ 4039322 h 6627042"/>
            <a:gd name="connsiteX23" fmla="*/ 0 w 11975180"/>
            <a:gd name="connsiteY23" fmla="*/ 4039322 h 6627042"/>
            <a:gd name="connsiteX24" fmla="*/ 9750730 w 11975180"/>
            <a:gd name="connsiteY24" fmla="*/ 597489 h 6627042"/>
            <a:gd name="connsiteX25" fmla="*/ 11975180 w 11975180"/>
            <a:gd name="connsiteY25" fmla="*/ 597489 h 6627042"/>
            <a:gd name="connsiteX26" fmla="*/ 11975180 w 11975180"/>
            <a:gd name="connsiteY26" fmla="*/ 1558108 h 6627042"/>
            <a:gd name="connsiteX27" fmla="*/ 9750730 w 11975180"/>
            <a:gd name="connsiteY27" fmla="*/ 1558108 h 6627042"/>
            <a:gd name="connsiteX28" fmla="*/ 7257044 w 11975180"/>
            <a:gd name="connsiteY28" fmla="*/ 597489 h 6627042"/>
            <a:gd name="connsiteX29" fmla="*/ 9697478 w 11975180"/>
            <a:gd name="connsiteY29" fmla="*/ 597489 h 6627042"/>
            <a:gd name="connsiteX30" fmla="*/ 9697478 w 11975180"/>
            <a:gd name="connsiteY30" fmla="*/ 1558108 h 6627042"/>
            <a:gd name="connsiteX31" fmla="*/ 7257044 w 11975180"/>
            <a:gd name="connsiteY31" fmla="*/ 1558108 h 6627042"/>
            <a:gd name="connsiteX32" fmla="*/ 5420309 w 11975180"/>
            <a:gd name="connsiteY32" fmla="*/ 597489 h 6627042"/>
            <a:gd name="connsiteX33" fmla="*/ 7203792 w 11975180"/>
            <a:gd name="connsiteY33" fmla="*/ 597489 h 6627042"/>
            <a:gd name="connsiteX34" fmla="*/ 7203792 w 11975180"/>
            <a:gd name="connsiteY34" fmla="*/ 1558108 h 6627042"/>
            <a:gd name="connsiteX35" fmla="*/ 5420309 w 11975180"/>
            <a:gd name="connsiteY35" fmla="*/ 1558108 h 6627042"/>
            <a:gd name="connsiteX36" fmla="*/ 1746837 w 11975180"/>
            <a:gd name="connsiteY36" fmla="*/ 597489 h 6627042"/>
            <a:gd name="connsiteX37" fmla="*/ 3530321 w 11975180"/>
            <a:gd name="connsiteY37" fmla="*/ 597489 h 6627042"/>
            <a:gd name="connsiteX38" fmla="*/ 3530321 w 11975180"/>
            <a:gd name="connsiteY38" fmla="*/ 1558107 h 6627042"/>
            <a:gd name="connsiteX39" fmla="*/ 3583573 w 11975180"/>
            <a:gd name="connsiteY39" fmla="*/ 1558107 h 6627042"/>
            <a:gd name="connsiteX40" fmla="*/ 3583573 w 11975180"/>
            <a:gd name="connsiteY40" fmla="*/ 597489 h 6627042"/>
            <a:gd name="connsiteX41" fmla="*/ 5367057 w 11975180"/>
            <a:gd name="connsiteY41" fmla="*/ 597489 h 6627042"/>
            <a:gd name="connsiteX42" fmla="*/ 5367057 w 11975180"/>
            <a:gd name="connsiteY42" fmla="*/ 1558108 h 6627042"/>
            <a:gd name="connsiteX43" fmla="*/ 1746837 w 11975180"/>
            <a:gd name="connsiteY43" fmla="*/ 1558108 h 6627042"/>
            <a:gd name="connsiteX44" fmla="*/ 0 w 11975180"/>
            <a:gd name="connsiteY44" fmla="*/ 597489 h 6627042"/>
            <a:gd name="connsiteX45" fmla="*/ 1693585 w 11975180"/>
            <a:gd name="connsiteY45" fmla="*/ 597489 h 6627042"/>
            <a:gd name="connsiteX46" fmla="*/ 1693585 w 11975180"/>
            <a:gd name="connsiteY46" fmla="*/ 1558108 h 6627042"/>
            <a:gd name="connsiteX47" fmla="*/ 0 w 11975180"/>
            <a:gd name="connsiteY47" fmla="*/ 1558108 h 6627042"/>
            <a:gd name="connsiteX48" fmla="*/ 3585523 w 11975180"/>
            <a:gd name="connsiteY48" fmla="*/ 0 h 6627042"/>
            <a:gd name="connsiteX49" fmla="*/ 11975180 w 11975180"/>
            <a:gd name="connsiteY49" fmla="*/ 0 h 6627042"/>
            <a:gd name="connsiteX50" fmla="*/ 11975180 w 11975180"/>
            <a:gd name="connsiteY50" fmla="*/ 544237 h 6627042"/>
            <a:gd name="connsiteX51" fmla="*/ 3585523 w 11975180"/>
            <a:gd name="connsiteY51" fmla="*/ 544237 h 6627042"/>
            <a:gd name="connsiteX52" fmla="*/ 0 w 11975180"/>
            <a:gd name="connsiteY52" fmla="*/ 0 h 6627042"/>
            <a:gd name="connsiteX53" fmla="*/ 1693586 w 11975180"/>
            <a:gd name="connsiteY53" fmla="*/ 0 h 6627042"/>
            <a:gd name="connsiteX54" fmla="*/ 1693586 w 11975180"/>
            <a:gd name="connsiteY54" fmla="*/ 539999 h 6627042"/>
            <a:gd name="connsiteX55" fmla="*/ 1746838 w 11975180"/>
            <a:gd name="connsiteY55" fmla="*/ 539999 h 6627042"/>
            <a:gd name="connsiteX56" fmla="*/ 1746838 w 11975180"/>
            <a:gd name="connsiteY56" fmla="*/ 0 h 6627042"/>
            <a:gd name="connsiteX57" fmla="*/ 3532271 w 11975180"/>
            <a:gd name="connsiteY57" fmla="*/ 0 h 6627042"/>
            <a:gd name="connsiteX58" fmla="*/ 3532271 w 11975180"/>
            <a:gd name="connsiteY58" fmla="*/ 544237 h 6627042"/>
            <a:gd name="connsiteX59" fmla="*/ 0 w 11975180"/>
            <a:gd name="connsiteY59" fmla="*/ 544237 h 66270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Lst>
          <a:rect l="l" t="t" r="r" b="b"/>
          <a:pathLst>
            <a:path w="11975180" h="6627042">
              <a:moveTo>
                <a:pt x="9584321" y="4092574"/>
              </a:moveTo>
              <a:lnTo>
                <a:pt x="11975180" y="4092574"/>
              </a:lnTo>
              <a:lnTo>
                <a:pt x="11975180" y="6627042"/>
              </a:lnTo>
              <a:lnTo>
                <a:pt x="9584321" y="6627042"/>
              </a:lnTo>
              <a:close/>
              <a:moveTo>
                <a:pt x="3583571" y="4092574"/>
              </a:moveTo>
              <a:lnTo>
                <a:pt x="9531069" y="4092574"/>
              </a:lnTo>
              <a:lnTo>
                <a:pt x="9531069" y="6627042"/>
              </a:lnTo>
              <a:lnTo>
                <a:pt x="3583571" y="6627042"/>
              </a:lnTo>
              <a:close/>
              <a:moveTo>
                <a:pt x="0" y="4092574"/>
              </a:moveTo>
              <a:lnTo>
                <a:pt x="3530319" y="4092574"/>
              </a:lnTo>
              <a:lnTo>
                <a:pt x="3530319" y="6627042"/>
              </a:lnTo>
              <a:lnTo>
                <a:pt x="0" y="6627042"/>
              </a:lnTo>
              <a:close/>
              <a:moveTo>
                <a:pt x="7939672" y="1611360"/>
              </a:moveTo>
              <a:lnTo>
                <a:pt x="11975180" y="1611360"/>
              </a:lnTo>
              <a:lnTo>
                <a:pt x="11975180" y="4039322"/>
              </a:lnTo>
              <a:lnTo>
                <a:pt x="7939672" y="4039322"/>
              </a:lnTo>
              <a:close/>
              <a:moveTo>
                <a:pt x="3583573" y="1611360"/>
              </a:moveTo>
              <a:lnTo>
                <a:pt x="7886420" y="1611360"/>
              </a:lnTo>
              <a:lnTo>
                <a:pt x="7886420" y="4039322"/>
              </a:lnTo>
              <a:lnTo>
                <a:pt x="3583573" y="4039322"/>
              </a:lnTo>
              <a:close/>
              <a:moveTo>
                <a:pt x="0" y="1611360"/>
              </a:moveTo>
              <a:lnTo>
                <a:pt x="3530321" y="1611360"/>
              </a:lnTo>
              <a:lnTo>
                <a:pt x="3530321" y="4039322"/>
              </a:lnTo>
              <a:lnTo>
                <a:pt x="0" y="4039322"/>
              </a:lnTo>
              <a:close/>
              <a:moveTo>
                <a:pt x="9750730" y="597489"/>
              </a:moveTo>
              <a:lnTo>
                <a:pt x="11975180" y="597489"/>
              </a:lnTo>
              <a:lnTo>
                <a:pt x="11975180" y="1558108"/>
              </a:lnTo>
              <a:lnTo>
                <a:pt x="9750730" y="1558108"/>
              </a:lnTo>
              <a:close/>
              <a:moveTo>
                <a:pt x="7257044" y="597489"/>
              </a:moveTo>
              <a:lnTo>
                <a:pt x="9697478" y="597489"/>
              </a:lnTo>
              <a:lnTo>
                <a:pt x="9697478" y="1558108"/>
              </a:lnTo>
              <a:lnTo>
                <a:pt x="7257044" y="1558108"/>
              </a:lnTo>
              <a:close/>
              <a:moveTo>
                <a:pt x="5420309" y="597489"/>
              </a:moveTo>
              <a:lnTo>
                <a:pt x="7203792" y="597489"/>
              </a:lnTo>
              <a:lnTo>
                <a:pt x="7203792" y="1558108"/>
              </a:lnTo>
              <a:lnTo>
                <a:pt x="5420309" y="1558108"/>
              </a:lnTo>
              <a:close/>
              <a:moveTo>
                <a:pt x="1746837" y="597489"/>
              </a:moveTo>
              <a:lnTo>
                <a:pt x="3530321" y="597489"/>
              </a:lnTo>
              <a:lnTo>
                <a:pt x="3530321" y="1558107"/>
              </a:lnTo>
              <a:lnTo>
                <a:pt x="3583573" y="1558107"/>
              </a:lnTo>
              <a:lnTo>
                <a:pt x="3583573" y="597489"/>
              </a:lnTo>
              <a:lnTo>
                <a:pt x="5367057" y="597489"/>
              </a:lnTo>
              <a:lnTo>
                <a:pt x="5367057" y="1558108"/>
              </a:lnTo>
              <a:lnTo>
                <a:pt x="1746837" y="1558108"/>
              </a:lnTo>
              <a:close/>
              <a:moveTo>
                <a:pt x="0" y="597489"/>
              </a:moveTo>
              <a:lnTo>
                <a:pt x="1693585" y="597489"/>
              </a:lnTo>
              <a:lnTo>
                <a:pt x="1693585" y="1558108"/>
              </a:lnTo>
              <a:lnTo>
                <a:pt x="0" y="1558108"/>
              </a:lnTo>
              <a:close/>
              <a:moveTo>
                <a:pt x="3585523" y="0"/>
              </a:moveTo>
              <a:lnTo>
                <a:pt x="11975180" y="0"/>
              </a:lnTo>
              <a:lnTo>
                <a:pt x="11975180" y="544237"/>
              </a:lnTo>
              <a:lnTo>
                <a:pt x="3585523" y="544237"/>
              </a:lnTo>
              <a:close/>
              <a:moveTo>
                <a:pt x="0" y="0"/>
              </a:moveTo>
              <a:lnTo>
                <a:pt x="1693586" y="0"/>
              </a:lnTo>
              <a:lnTo>
                <a:pt x="1693586" y="539999"/>
              </a:lnTo>
              <a:lnTo>
                <a:pt x="1746838" y="539999"/>
              </a:lnTo>
              <a:lnTo>
                <a:pt x="1746838" y="0"/>
              </a:lnTo>
              <a:lnTo>
                <a:pt x="3532271" y="0"/>
              </a:lnTo>
              <a:lnTo>
                <a:pt x="3532271" y="544237"/>
              </a:lnTo>
              <a:lnTo>
                <a:pt x="0" y="544237"/>
              </a:lnTo>
              <a:close/>
            </a:path>
          </a:pathLst>
        </a:custGeom>
        <a:gradFill>
          <a:gsLst>
            <a:gs pos="50000">
              <a:schemeClr val="accent2">
                <a:lumMod val="20000"/>
                <a:lumOff val="80000"/>
                <a:alpha val="93000"/>
              </a:schemeClr>
            </a:gs>
            <a:gs pos="0">
              <a:schemeClr val="accent6">
                <a:lumMod val="20000"/>
                <a:lumOff val="80000"/>
                <a:alpha val="90000"/>
              </a:schemeClr>
            </a:gs>
            <a:gs pos="100000">
              <a:schemeClr val="accent1">
                <a:lumMod val="20000"/>
                <a:lumOff val="80000"/>
                <a:alpha val="9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v</a:t>
          </a:r>
        </a:p>
      </xdr:txBody>
    </xdr:sp>
    <xdr:clientData/>
  </xdr:twoCellAnchor>
  <xdr:twoCellAnchor>
    <xdr:from>
      <xdr:col>22</xdr:col>
      <xdr:colOff>98561</xdr:colOff>
      <xdr:row>8</xdr:row>
      <xdr:rowOff>170274</xdr:rowOff>
    </xdr:from>
    <xdr:to>
      <xdr:col>24</xdr:col>
      <xdr:colOff>514865</xdr:colOff>
      <xdr:row>10</xdr:row>
      <xdr:rowOff>144160</xdr:rowOff>
    </xdr:to>
    <xdr:sp macro="" textlink="">
      <xdr:nvSpPr>
        <xdr:cNvPr id="4" name="TextBox 3">
          <a:extLst>
            <a:ext uri="{FF2B5EF4-FFF2-40B4-BE49-F238E27FC236}">
              <a16:creationId xmlns:a16="http://schemas.microsoft.com/office/drawing/2014/main" id="{08CB1B6E-23A6-C123-1D5A-B1D79DEFF422}"/>
            </a:ext>
          </a:extLst>
        </xdr:cNvPr>
        <xdr:cNvSpPr txBox="1"/>
      </xdr:nvSpPr>
      <xdr:spPr>
        <a:xfrm>
          <a:off x="13464453" y="1653085"/>
          <a:ext cx="1631385" cy="344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rgbClr val="660000"/>
              </a:solidFill>
              <a:latin typeface="Lato black" panose="020F0502020204030204" pitchFamily="34" charset="0"/>
              <a:ea typeface="Lato black" panose="020F0502020204030204" pitchFamily="34" charset="0"/>
              <a:cs typeface="Lato black" panose="020F0502020204030204" pitchFamily="34" charset="0"/>
            </a:rPr>
            <a:t>Total Employees</a:t>
          </a:r>
        </a:p>
      </xdr:txBody>
    </xdr:sp>
    <xdr:clientData/>
  </xdr:twoCellAnchor>
  <xdr:twoCellAnchor>
    <xdr:from>
      <xdr:col>22</xdr:col>
      <xdr:colOff>340180</xdr:colOff>
      <xdr:row>10</xdr:row>
      <xdr:rowOff>136071</xdr:rowOff>
    </xdr:from>
    <xdr:to>
      <xdr:col>25</xdr:col>
      <xdr:colOff>122465</xdr:colOff>
      <xdr:row>13</xdr:row>
      <xdr:rowOff>122465</xdr:rowOff>
    </xdr:to>
    <xdr:sp macro="" textlink="KPI!A11">
      <xdr:nvSpPr>
        <xdr:cNvPr id="5" name="TextBox 4">
          <a:extLst>
            <a:ext uri="{FF2B5EF4-FFF2-40B4-BE49-F238E27FC236}">
              <a16:creationId xmlns:a16="http://schemas.microsoft.com/office/drawing/2014/main" id="{94736466-BA95-F744-72E7-66E6F957747D}"/>
            </a:ext>
          </a:extLst>
        </xdr:cNvPr>
        <xdr:cNvSpPr txBox="1"/>
      </xdr:nvSpPr>
      <xdr:spPr>
        <a:xfrm>
          <a:off x="13811251" y="1905000"/>
          <a:ext cx="1619250" cy="517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03C0DD-A806-4A04-9E17-2F9E9250E754}" type="TxLink">
            <a:rPr lang="en-US" sz="2600" b="0" i="0" u="none" strike="noStrike">
              <a:solidFill>
                <a:srgbClr val="FD5E53"/>
              </a:solidFill>
              <a:latin typeface="Calibri"/>
              <a:ea typeface="Calibri"/>
              <a:cs typeface="Calibri"/>
            </a:rPr>
            <a:pPr algn="ctr"/>
            <a:t>1470</a:t>
          </a:fld>
          <a:endParaRPr lang="en-IN" sz="2600">
            <a:solidFill>
              <a:srgbClr val="FD5E53"/>
            </a:solidFill>
          </a:endParaRPr>
        </a:p>
      </xdr:txBody>
    </xdr:sp>
    <xdr:clientData/>
  </xdr:twoCellAnchor>
  <xdr:twoCellAnchor>
    <xdr:from>
      <xdr:col>18</xdr:col>
      <xdr:colOff>46853</xdr:colOff>
      <xdr:row>8</xdr:row>
      <xdr:rowOff>172996</xdr:rowOff>
    </xdr:from>
    <xdr:to>
      <xdr:col>21</xdr:col>
      <xdr:colOff>30524</xdr:colOff>
      <xdr:row>10</xdr:row>
      <xdr:rowOff>129451</xdr:rowOff>
    </xdr:to>
    <xdr:sp macro="" textlink="">
      <xdr:nvSpPr>
        <xdr:cNvPr id="6" name="TextBox 5">
          <a:extLst>
            <a:ext uri="{FF2B5EF4-FFF2-40B4-BE49-F238E27FC236}">
              <a16:creationId xmlns:a16="http://schemas.microsoft.com/office/drawing/2014/main" id="{49AAFA1F-718E-4E17-BB99-52AC91B88E37}"/>
            </a:ext>
          </a:extLst>
        </xdr:cNvPr>
        <xdr:cNvSpPr txBox="1"/>
      </xdr:nvSpPr>
      <xdr:spPr>
        <a:xfrm>
          <a:off x="10982583" y="1655807"/>
          <a:ext cx="1806292" cy="32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rgbClr val="660000"/>
              </a:solidFill>
              <a:latin typeface="Lato black" panose="020F0502020204030204" pitchFamily="34" charset="0"/>
              <a:ea typeface="Lato black" panose="020F0502020204030204" pitchFamily="34" charset="0"/>
              <a:cs typeface="Lato black" panose="020F0502020204030204" pitchFamily="34" charset="0"/>
            </a:rPr>
            <a:t>Active</a:t>
          </a:r>
          <a:r>
            <a:rPr lang="en-IN" sz="1500" baseline="0">
              <a:solidFill>
                <a:srgbClr val="660000"/>
              </a:solidFill>
              <a:latin typeface="Lato black" panose="020F0502020204030204" pitchFamily="34" charset="0"/>
              <a:ea typeface="Lato black" panose="020F0502020204030204" pitchFamily="34" charset="0"/>
              <a:cs typeface="Lato black" panose="020F0502020204030204" pitchFamily="34" charset="0"/>
            </a:rPr>
            <a:t> Workforce</a:t>
          </a:r>
          <a:endParaRPr lang="en-IN" sz="1500">
            <a:solidFill>
              <a:srgbClr val="66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18</xdr:col>
      <xdr:colOff>315686</xdr:colOff>
      <xdr:row>10</xdr:row>
      <xdr:rowOff>152399</xdr:rowOff>
    </xdr:from>
    <xdr:to>
      <xdr:col>21</xdr:col>
      <xdr:colOff>97972</xdr:colOff>
      <xdr:row>13</xdr:row>
      <xdr:rowOff>138793</xdr:rowOff>
    </xdr:to>
    <xdr:sp macro="" textlink="KPI!D11">
      <xdr:nvSpPr>
        <xdr:cNvPr id="7" name="TextBox 6">
          <a:extLst>
            <a:ext uri="{FF2B5EF4-FFF2-40B4-BE49-F238E27FC236}">
              <a16:creationId xmlns:a16="http://schemas.microsoft.com/office/drawing/2014/main" id="{0D81BC03-53EB-46BC-811D-B5C55137CD00}"/>
            </a:ext>
          </a:extLst>
        </xdr:cNvPr>
        <xdr:cNvSpPr txBox="1"/>
      </xdr:nvSpPr>
      <xdr:spPr>
        <a:xfrm>
          <a:off x="11337472" y="1921328"/>
          <a:ext cx="1619250" cy="517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84613C-1DA6-4598-959D-F1DD976219D2}" type="TxLink">
            <a:rPr lang="en-US" sz="2600" b="0" i="0" u="none" strike="noStrike">
              <a:solidFill>
                <a:srgbClr val="FD5E53"/>
              </a:solidFill>
              <a:latin typeface="Calibri"/>
              <a:ea typeface="Calibri"/>
              <a:cs typeface="Calibri"/>
            </a:rPr>
            <a:pPr algn="ctr"/>
            <a:t>1233</a:t>
          </a:fld>
          <a:endParaRPr lang="en-IN" sz="2600">
            <a:solidFill>
              <a:srgbClr val="FD5E53"/>
            </a:solidFill>
          </a:endParaRPr>
        </a:p>
      </xdr:txBody>
    </xdr:sp>
    <xdr:clientData/>
  </xdr:twoCellAnchor>
  <xdr:twoCellAnchor>
    <xdr:from>
      <xdr:col>15</xdr:col>
      <xdr:colOff>70171</xdr:colOff>
      <xdr:row>8</xdr:row>
      <xdr:rowOff>172407</xdr:rowOff>
    </xdr:from>
    <xdr:to>
      <xdr:col>16</xdr:col>
      <xdr:colOff>486549</xdr:colOff>
      <xdr:row>10</xdr:row>
      <xdr:rowOff>180568</xdr:rowOff>
    </xdr:to>
    <xdr:sp macro="" textlink="">
      <xdr:nvSpPr>
        <xdr:cNvPr id="8" name="TextBox 7">
          <a:extLst>
            <a:ext uri="{FF2B5EF4-FFF2-40B4-BE49-F238E27FC236}">
              <a16:creationId xmlns:a16="http://schemas.microsoft.com/office/drawing/2014/main" id="{B8A461CA-C7BA-40EF-A107-7CA1A6E191D4}"/>
            </a:ext>
          </a:extLst>
        </xdr:cNvPr>
        <xdr:cNvSpPr txBox="1"/>
      </xdr:nvSpPr>
      <xdr:spPr>
        <a:xfrm>
          <a:off x="9183279" y="1655218"/>
          <a:ext cx="1023919" cy="37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rgbClr val="660000"/>
              </a:solidFill>
              <a:latin typeface="Lato black" panose="020F0502020204030204" pitchFamily="34" charset="0"/>
              <a:ea typeface="Lato black" panose="020F0502020204030204" pitchFamily="34" charset="0"/>
              <a:cs typeface="Lato black" panose="020F0502020204030204" pitchFamily="34" charset="0"/>
            </a:rPr>
            <a:t>Attrition</a:t>
          </a:r>
        </a:p>
      </xdr:txBody>
    </xdr:sp>
    <xdr:clientData/>
  </xdr:twoCellAnchor>
  <xdr:twoCellAnchor>
    <xdr:from>
      <xdr:col>14</xdr:col>
      <xdr:colOff>588716</xdr:colOff>
      <xdr:row>10</xdr:row>
      <xdr:rowOff>155120</xdr:rowOff>
    </xdr:from>
    <xdr:to>
      <xdr:col>17</xdr:col>
      <xdr:colOff>41191</xdr:colOff>
      <xdr:row>13</xdr:row>
      <xdr:rowOff>141514</xdr:rowOff>
    </xdr:to>
    <xdr:sp macro="" textlink="KPI!B11">
      <xdr:nvSpPr>
        <xdr:cNvPr id="9" name="TextBox 8">
          <a:extLst>
            <a:ext uri="{FF2B5EF4-FFF2-40B4-BE49-F238E27FC236}">
              <a16:creationId xmlns:a16="http://schemas.microsoft.com/office/drawing/2014/main" id="{85F4BEC6-A607-4757-9098-4022A3E97A06}"/>
            </a:ext>
          </a:extLst>
        </xdr:cNvPr>
        <xdr:cNvSpPr txBox="1"/>
      </xdr:nvSpPr>
      <xdr:spPr>
        <a:xfrm>
          <a:off x="9094284" y="2008634"/>
          <a:ext cx="1275096" cy="542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2C89A9-0765-4598-9BBB-E1CD5F5D034B}" type="TxLink">
            <a:rPr lang="en-US" sz="2600" b="0" i="0" u="none" strike="noStrike">
              <a:solidFill>
                <a:srgbClr val="FD5E53"/>
              </a:solidFill>
              <a:latin typeface="Calibri"/>
              <a:ea typeface="Calibri"/>
              <a:cs typeface="Calibri"/>
            </a:rPr>
            <a:pPr algn="ctr"/>
            <a:t>237</a:t>
          </a:fld>
          <a:endParaRPr lang="en-IN" sz="2600">
            <a:solidFill>
              <a:srgbClr val="FD5E53"/>
            </a:solidFill>
          </a:endParaRPr>
        </a:p>
      </xdr:txBody>
    </xdr:sp>
    <xdr:clientData/>
  </xdr:twoCellAnchor>
  <xdr:twoCellAnchor>
    <xdr:from>
      <xdr:col>12</xdr:col>
      <xdr:colOff>8165</xdr:colOff>
      <xdr:row>8</xdr:row>
      <xdr:rowOff>168142</xdr:rowOff>
    </xdr:from>
    <xdr:to>
      <xdr:col>14</xdr:col>
      <xdr:colOff>389165</xdr:colOff>
      <xdr:row>10</xdr:row>
      <xdr:rowOff>173582</xdr:rowOff>
    </xdr:to>
    <xdr:sp macro="" textlink="">
      <xdr:nvSpPr>
        <xdr:cNvPr id="10" name="TextBox 9">
          <a:extLst>
            <a:ext uri="{FF2B5EF4-FFF2-40B4-BE49-F238E27FC236}">
              <a16:creationId xmlns:a16="http://schemas.microsoft.com/office/drawing/2014/main" id="{751631A3-DB38-4440-B061-0291B82EFBC7}"/>
            </a:ext>
          </a:extLst>
        </xdr:cNvPr>
        <xdr:cNvSpPr txBox="1"/>
      </xdr:nvSpPr>
      <xdr:spPr>
        <a:xfrm>
          <a:off x="7298651" y="1650953"/>
          <a:ext cx="1596082" cy="376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rgbClr val="660000"/>
              </a:solidFill>
              <a:latin typeface="Lato black" panose="020F0502020204030204" pitchFamily="34" charset="0"/>
              <a:ea typeface="Lato black" panose="020F0502020204030204" pitchFamily="34" charset="0"/>
              <a:cs typeface="Lato black" panose="020F0502020204030204" pitchFamily="34" charset="0"/>
            </a:rPr>
            <a:t>Attriton</a:t>
          </a:r>
          <a:r>
            <a:rPr lang="en-IN" sz="1500" baseline="0">
              <a:solidFill>
                <a:srgbClr val="660000"/>
              </a:solidFill>
              <a:latin typeface="Lato black" panose="020F0502020204030204" pitchFamily="34" charset="0"/>
              <a:ea typeface="Lato black" panose="020F0502020204030204" pitchFamily="34" charset="0"/>
              <a:cs typeface="Lato black" panose="020F0502020204030204" pitchFamily="34" charset="0"/>
            </a:rPr>
            <a:t> Rate</a:t>
          </a:r>
          <a:endParaRPr lang="en-IN" sz="1500">
            <a:solidFill>
              <a:srgbClr val="66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12</xdr:col>
      <xdr:colOff>201609</xdr:colOff>
      <xdr:row>10</xdr:row>
      <xdr:rowOff>171449</xdr:rowOff>
    </xdr:from>
    <xdr:to>
      <xdr:col>14</xdr:col>
      <xdr:colOff>261479</xdr:colOff>
      <xdr:row>13</xdr:row>
      <xdr:rowOff>149678</xdr:rowOff>
    </xdr:to>
    <xdr:sp macro="" textlink="KPI!E11">
      <xdr:nvSpPr>
        <xdr:cNvPr id="11" name="TextBox 10">
          <a:extLst>
            <a:ext uri="{FF2B5EF4-FFF2-40B4-BE49-F238E27FC236}">
              <a16:creationId xmlns:a16="http://schemas.microsoft.com/office/drawing/2014/main" id="{D02B900A-B0BC-409A-8CD3-829706B3B881}"/>
            </a:ext>
          </a:extLst>
        </xdr:cNvPr>
        <xdr:cNvSpPr txBox="1"/>
      </xdr:nvSpPr>
      <xdr:spPr>
        <a:xfrm>
          <a:off x="7492095" y="2024963"/>
          <a:ext cx="1274952" cy="534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747324-4C6E-4CBD-801E-FFBA330646B0}" type="TxLink">
            <a:rPr lang="en-US" sz="2400" b="0" i="0" u="none" strike="noStrike">
              <a:solidFill>
                <a:srgbClr val="FD5E53"/>
              </a:solidFill>
              <a:latin typeface="Calibri"/>
              <a:ea typeface="Calibri"/>
              <a:cs typeface="Calibri"/>
            </a:rPr>
            <a:pPr algn="ctr"/>
            <a:t>16.12%</a:t>
          </a:fld>
          <a:endParaRPr lang="en-IN" sz="2400">
            <a:solidFill>
              <a:srgbClr val="FD5E53"/>
            </a:solidFill>
          </a:endParaRPr>
        </a:p>
      </xdr:txBody>
    </xdr:sp>
    <xdr:clientData/>
  </xdr:twoCellAnchor>
  <xdr:twoCellAnchor>
    <xdr:from>
      <xdr:col>8</xdr:col>
      <xdr:colOff>578709</xdr:colOff>
      <xdr:row>8</xdr:row>
      <xdr:rowOff>184471</xdr:rowOff>
    </xdr:from>
    <xdr:to>
      <xdr:col>11</xdr:col>
      <xdr:colOff>347387</xdr:colOff>
      <xdr:row>10</xdr:row>
      <xdr:rowOff>130040</xdr:rowOff>
    </xdr:to>
    <xdr:sp macro="" textlink="">
      <xdr:nvSpPr>
        <xdr:cNvPr id="12" name="TextBox 11">
          <a:extLst>
            <a:ext uri="{FF2B5EF4-FFF2-40B4-BE49-F238E27FC236}">
              <a16:creationId xmlns:a16="http://schemas.microsoft.com/office/drawing/2014/main" id="{212EA310-BF7F-4D62-9C3C-597EBA886E5A}"/>
            </a:ext>
          </a:extLst>
        </xdr:cNvPr>
        <xdr:cNvSpPr txBox="1"/>
      </xdr:nvSpPr>
      <xdr:spPr>
        <a:xfrm>
          <a:off x="5439033" y="1667282"/>
          <a:ext cx="1591300" cy="31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a:solidFill>
                <a:srgbClr val="660000"/>
              </a:solidFill>
              <a:latin typeface="Lato black" panose="020F0502020204030204" pitchFamily="34" charset="0"/>
              <a:ea typeface="Lato black" panose="020F0502020204030204" pitchFamily="34" charset="0"/>
              <a:cs typeface="Lato black" panose="020F0502020204030204" pitchFamily="34" charset="0"/>
            </a:rPr>
            <a:t>Retention</a:t>
          </a:r>
          <a:r>
            <a:rPr lang="en-IN" sz="1500" baseline="0">
              <a:solidFill>
                <a:srgbClr val="660000"/>
              </a:solidFill>
              <a:latin typeface="Lato black" panose="020F0502020204030204" pitchFamily="34" charset="0"/>
              <a:ea typeface="Lato black" panose="020F0502020204030204" pitchFamily="34" charset="0"/>
              <a:cs typeface="Lato black" panose="020F0502020204030204" pitchFamily="34" charset="0"/>
            </a:rPr>
            <a:t> Rate</a:t>
          </a:r>
          <a:endParaRPr lang="en-IN" sz="1500">
            <a:solidFill>
              <a:srgbClr val="66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9</xdr:col>
      <xdr:colOff>27805</xdr:colOff>
      <xdr:row>11</xdr:row>
      <xdr:rowOff>10886</xdr:rowOff>
    </xdr:from>
    <xdr:to>
      <xdr:col>11</xdr:col>
      <xdr:colOff>422412</xdr:colOff>
      <xdr:row>13</xdr:row>
      <xdr:rowOff>174172</xdr:rowOff>
    </xdr:to>
    <xdr:sp macro="" textlink="KPI!F11">
      <xdr:nvSpPr>
        <xdr:cNvPr id="13" name="TextBox 12">
          <a:extLst>
            <a:ext uri="{FF2B5EF4-FFF2-40B4-BE49-F238E27FC236}">
              <a16:creationId xmlns:a16="http://schemas.microsoft.com/office/drawing/2014/main" id="{FC65F2EF-4395-40F7-8C78-99027481660C}"/>
            </a:ext>
          </a:extLst>
        </xdr:cNvPr>
        <xdr:cNvSpPr txBox="1"/>
      </xdr:nvSpPr>
      <xdr:spPr>
        <a:xfrm>
          <a:off x="5495670" y="2049751"/>
          <a:ext cx="1609688" cy="53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A1849F-F69B-4E79-B722-2EEEC169F0AB}" type="TxLink">
            <a:rPr lang="en-US" sz="2200" b="0" i="0" u="none" strike="noStrike">
              <a:solidFill>
                <a:srgbClr val="FD5E53"/>
              </a:solidFill>
              <a:latin typeface="Calibri"/>
              <a:ea typeface="Calibri"/>
              <a:cs typeface="Calibri"/>
            </a:rPr>
            <a:pPr algn="ctr"/>
            <a:t>83.88%</a:t>
          </a:fld>
          <a:endParaRPr lang="en-IN" sz="2200">
            <a:solidFill>
              <a:srgbClr val="FD5E53"/>
            </a:solidFill>
          </a:endParaRPr>
        </a:p>
      </xdr:txBody>
    </xdr:sp>
    <xdr:clientData/>
  </xdr:twoCellAnchor>
  <xdr:twoCellAnchor>
    <xdr:from>
      <xdr:col>6</xdr:col>
      <xdr:colOff>37144</xdr:colOff>
      <xdr:row>9</xdr:row>
      <xdr:rowOff>3313</xdr:rowOff>
    </xdr:from>
    <xdr:to>
      <xdr:col>7</xdr:col>
      <xdr:colOff>401595</xdr:colOff>
      <xdr:row>10</xdr:row>
      <xdr:rowOff>175055</xdr:rowOff>
    </xdr:to>
    <xdr:sp macro="" textlink="">
      <xdr:nvSpPr>
        <xdr:cNvPr id="14" name="TextBox 13">
          <a:extLst>
            <a:ext uri="{FF2B5EF4-FFF2-40B4-BE49-F238E27FC236}">
              <a16:creationId xmlns:a16="http://schemas.microsoft.com/office/drawing/2014/main" id="{9B8DD6C7-EA29-4BAE-8F03-9CB91398503E}"/>
            </a:ext>
          </a:extLst>
        </xdr:cNvPr>
        <xdr:cNvSpPr txBox="1"/>
      </xdr:nvSpPr>
      <xdr:spPr>
        <a:xfrm>
          <a:off x="3682387" y="1671475"/>
          <a:ext cx="971992" cy="357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500">
              <a:solidFill>
                <a:srgbClr val="660000"/>
              </a:solidFill>
              <a:latin typeface="Lato black" panose="020F0502020204030204" pitchFamily="34" charset="0"/>
              <a:ea typeface="Lato black" panose="020F0502020204030204" pitchFamily="34" charset="0"/>
              <a:cs typeface="Lato black" panose="020F0502020204030204" pitchFamily="34" charset="0"/>
            </a:rPr>
            <a:t>Avg.</a:t>
          </a:r>
          <a:r>
            <a:rPr lang="en-IN" sz="1500" baseline="0">
              <a:solidFill>
                <a:srgbClr val="660000"/>
              </a:solidFill>
              <a:latin typeface="Lato black" panose="020F0502020204030204" pitchFamily="34" charset="0"/>
              <a:ea typeface="Lato black" panose="020F0502020204030204" pitchFamily="34" charset="0"/>
              <a:cs typeface="Lato black" panose="020F0502020204030204" pitchFamily="34" charset="0"/>
            </a:rPr>
            <a:t> Age</a:t>
          </a:r>
          <a:endParaRPr lang="en-IN" sz="1500">
            <a:solidFill>
              <a:srgbClr val="66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6</xdr:col>
      <xdr:colOff>240196</xdr:colOff>
      <xdr:row>11</xdr:row>
      <xdr:rowOff>40822</xdr:rowOff>
    </xdr:from>
    <xdr:to>
      <xdr:col>8</xdr:col>
      <xdr:colOff>51810</xdr:colOff>
      <xdr:row>14</xdr:row>
      <xdr:rowOff>27215</xdr:rowOff>
    </xdr:to>
    <xdr:sp macro="" textlink="KPI!C11">
      <xdr:nvSpPr>
        <xdr:cNvPr id="15" name="TextBox 14">
          <a:extLst>
            <a:ext uri="{FF2B5EF4-FFF2-40B4-BE49-F238E27FC236}">
              <a16:creationId xmlns:a16="http://schemas.microsoft.com/office/drawing/2014/main" id="{E06FDC8F-9529-48BD-89A8-0C7237A6FF37}"/>
            </a:ext>
          </a:extLst>
        </xdr:cNvPr>
        <xdr:cNvSpPr txBox="1"/>
      </xdr:nvSpPr>
      <xdr:spPr>
        <a:xfrm>
          <a:off x="3885439" y="2079687"/>
          <a:ext cx="1026695" cy="542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5E39C9-4102-4BDE-8AE3-EFB982AA14ED}" type="TxLink">
            <a:rPr lang="en-US" sz="2400" b="0" i="0" u="none" strike="noStrike">
              <a:solidFill>
                <a:srgbClr val="FD5E53"/>
              </a:solidFill>
              <a:latin typeface="Calibri"/>
              <a:ea typeface="Calibri"/>
              <a:cs typeface="Calibri"/>
            </a:rPr>
            <a:pPr algn="ctr"/>
            <a:t>37</a:t>
          </a:fld>
          <a:endParaRPr lang="en-IN" sz="2400">
            <a:solidFill>
              <a:srgbClr val="FD5E53"/>
            </a:solidFill>
          </a:endParaRPr>
        </a:p>
      </xdr:txBody>
    </xdr:sp>
    <xdr:clientData/>
  </xdr:twoCellAnchor>
  <xdr:twoCellAnchor editAs="oneCell">
    <xdr:from>
      <xdr:col>20</xdr:col>
      <xdr:colOff>483974</xdr:colOff>
      <xdr:row>9</xdr:row>
      <xdr:rowOff>82378</xdr:rowOff>
    </xdr:from>
    <xdr:to>
      <xdr:col>22</xdr:col>
      <xdr:colOff>30893</xdr:colOff>
      <xdr:row>13</xdr:row>
      <xdr:rowOff>102972</xdr:rowOff>
    </xdr:to>
    <xdr:pic>
      <xdr:nvPicPr>
        <xdr:cNvPr id="21" name="Picture 20">
          <a:extLst>
            <a:ext uri="{FF2B5EF4-FFF2-40B4-BE49-F238E27FC236}">
              <a16:creationId xmlns:a16="http://schemas.microsoft.com/office/drawing/2014/main" id="{4E016EEA-FD7F-3E52-40C5-21FC9365DB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634785" y="1750540"/>
          <a:ext cx="762000" cy="762000"/>
        </a:xfrm>
        <a:prstGeom prst="rect">
          <a:avLst/>
        </a:prstGeom>
      </xdr:spPr>
    </xdr:pic>
    <xdr:clientData/>
  </xdr:twoCellAnchor>
  <xdr:twoCellAnchor editAs="oneCell">
    <xdr:from>
      <xdr:col>16</xdr:col>
      <xdr:colOff>453081</xdr:colOff>
      <xdr:row>9</xdr:row>
      <xdr:rowOff>54295</xdr:rowOff>
    </xdr:from>
    <xdr:to>
      <xdr:col>18</xdr:col>
      <xdr:colOff>0</xdr:colOff>
      <xdr:row>13</xdr:row>
      <xdr:rowOff>144162</xdr:rowOff>
    </xdr:to>
    <xdr:pic>
      <xdr:nvPicPr>
        <xdr:cNvPr id="23" name="Picture 22">
          <a:extLst>
            <a:ext uri="{FF2B5EF4-FFF2-40B4-BE49-F238E27FC236}">
              <a16:creationId xmlns:a16="http://schemas.microsoft.com/office/drawing/2014/main" id="{1ED4DAE5-880F-F786-8BA0-D0D0B00D89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73730" y="1722457"/>
          <a:ext cx="762000" cy="831273"/>
        </a:xfrm>
        <a:prstGeom prst="rect">
          <a:avLst/>
        </a:prstGeom>
      </xdr:spPr>
    </xdr:pic>
    <xdr:clientData/>
  </xdr:twoCellAnchor>
  <xdr:twoCellAnchor editAs="oneCell">
    <xdr:from>
      <xdr:col>14</xdr:col>
      <xdr:colOff>185352</xdr:colOff>
      <xdr:row>8</xdr:row>
      <xdr:rowOff>144163</xdr:rowOff>
    </xdr:from>
    <xdr:to>
      <xdr:col>14</xdr:col>
      <xdr:colOff>566352</xdr:colOff>
      <xdr:row>10</xdr:row>
      <xdr:rowOff>154459</xdr:rowOff>
    </xdr:to>
    <xdr:pic>
      <xdr:nvPicPr>
        <xdr:cNvPr id="25" name="Picture 24">
          <a:extLst>
            <a:ext uri="{FF2B5EF4-FFF2-40B4-BE49-F238E27FC236}">
              <a16:creationId xmlns:a16="http://schemas.microsoft.com/office/drawing/2014/main" id="{B6FDCF5D-1C71-3D9A-1179-996D88BF8B3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690920" y="1626974"/>
          <a:ext cx="381000" cy="380999"/>
        </a:xfrm>
        <a:prstGeom prst="rect">
          <a:avLst/>
        </a:prstGeom>
      </xdr:spPr>
    </xdr:pic>
    <xdr:clientData/>
  </xdr:twoCellAnchor>
  <xdr:twoCellAnchor editAs="oneCell">
    <xdr:from>
      <xdr:col>11</xdr:col>
      <xdr:colOff>216244</xdr:colOff>
      <xdr:row>8</xdr:row>
      <xdr:rowOff>154461</xdr:rowOff>
    </xdr:from>
    <xdr:to>
      <xdr:col>11</xdr:col>
      <xdr:colOff>556053</xdr:colOff>
      <xdr:row>10</xdr:row>
      <xdr:rowOff>123567</xdr:rowOff>
    </xdr:to>
    <xdr:pic>
      <xdr:nvPicPr>
        <xdr:cNvPr id="27" name="Picture 26">
          <a:extLst>
            <a:ext uri="{FF2B5EF4-FFF2-40B4-BE49-F238E27FC236}">
              <a16:creationId xmlns:a16="http://schemas.microsoft.com/office/drawing/2014/main" id="{FCCF5B43-A406-8D7E-D0A1-F398AEB75A7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899190" y="1637272"/>
          <a:ext cx="339809" cy="339809"/>
        </a:xfrm>
        <a:prstGeom prst="rect">
          <a:avLst/>
        </a:prstGeom>
      </xdr:spPr>
    </xdr:pic>
    <xdr:clientData/>
  </xdr:twoCellAnchor>
  <xdr:twoCellAnchor editAs="oneCell">
    <xdr:from>
      <xdr:col>24</xdr:col>
      <xdr:colOff>381001</xdr:colOff>
      <xdr:row>9</xdr:row>
      <xdr:rowOff>92676</xdr:rowOff>
    </xdr:from>
    <xdr:to>
      <xdr:col>25</xdr:col>
      <xdr:colOff>545756</xdr:colOff>
      <xdr:row>13</xdr:row>
      <xdr:rowOff>123566</xdr:rowOff>
    </xdr:to>
    <xdr:pic>
      <xdr:nvPicPr>
        <xdr:cNvPr id="31" name="Picture 30">
          <a:extLst>
            <a:ext uri="{FF2B5EF4-FFF2-40B4-BE49-F238E27FC236}">
              <a16:creationId xmlns:a16="http://schemas.microsoft.com/office/drawing/2014/main" id="{2006084C-BE93-BE8C-147E-1C59B643DBA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961974" y="1760838"/>
          <a:ext cx="772296" cy="772296"/>
        </a:xfrm>
        <a:prstGeom prst="rect">
          <a:avLst/>
        </a:prstGeom>
      </xdr:spPr>
    </xdr:pic>
    <xdr:clientData/>
  </xdr:twoCellAnchor>
  <xdr:twoCellAnchor editAs="oneCell">
    <xdr:from>
      <xdr:col>7</xdr:col>
      <xdr:colOff>350108</xdr:colOff>
      <xdr:row>9</xdr:row>
      <xdr:rowOff>82379</xdr:rowOff>
    </xdr:from>
    <xdr:to>
      <xdr:col>8</xdr:col>
      <xdr:colOff>535459</xdr:colOff>
      <xdr:row>13</xdr:row>
      <xdr:rowOff>133864</xdr:rowOff>
    </xdr:to>
    <xdr:pic>
      <xdr:nvPicPr>
        <xdr:cNvPr id="35" name="Picture 34">
          <a:extLst>
            <a:ext uri="{FF2B5EF4-FFF2-40B4-BE49-F238E27FC236}">
              <a16:creationId xmlns:a16="http://schemas.microsoft.com/office/drawing/2014/main" id="{A97B0EB4-F98F-4134-0E04-8489E9E86CC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633472" y="1744924"/>
          <a:ext cx="797260" cy="790395"/>
        </a:xfrm>
        <a:prstGeom prst="rect">
          <a:avLst/>
        </a:prstGeom>
      </xdr:spPr>
    </xdr:pic>
    <xdr:clientData/>
  </xdr:twoCellAnchor>
  <xdr:twoCellAnchor>
    <xdr:from>
      <xdr:col>13</xdr:col>
      <xdr:colOff>247129</xdr:colOff>
      <xdr:row>5</xdr:row>
      <xdr:rowOff>113269</xdr:rowOff>
    </xdr:from>
    <xdr:to>
      <xdr:col>24</xdr:col>
      <xdr:colOff>247128</xdr:colOff>
      <xdr:row>8</xdr:row>
      <xdr:rowOff>41188</xdr:rowOff>
    </xdr:to>
    <xdr:sp macro="" textlink="">
      <xdr:nvSpPr>
        <xdr:cNvPr id="36" name="TextBox 35">
          <a:extLst>
            <a:ext uri="{FF2B5EF4-FFF2-40B4-BE49-F238E27FC236}">
              <a16:creationId xmlns:a16="http://schemas.microsoft.com/office/drawing/2014/main" id="{3CCE43F2-B316-6194-4A44-38284F8D98FC}"/>
            </a:ext>
          </a:extLst>
        </xdr:cNvPr>
        <xdr:cNvSpPr txBox="1"/>
      </xdr:nvSpPr>
      <xdr:spPr>
        <a:xfrm>
          <a:off x="8145156" y="1040026"/>
          <a:ext cx="6682945" cy="483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7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HR ANALYTICS</a:t>
          </a:r>
          <a:r>
            <a:rPr lang="en-IN" sz="37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DASHBOARD</a:t>
          </a:r>
          <a:endParaRPr lang="en-IN" sz="37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12</xdr:col>
      <xdr:colOff>41185</xdr:colOff>
      <xdr:row>5</xdr:row>
      <xdr:rowOff>92682</xdr:rowOff>
    </xdr:from>
    <xdr:to>
      <xdr:col>12</xdr:col>
      <xdr:colOff>576644</xdr:colOff>
      <xdr:row>8</xdr:row>
      <xdr:rowOff>72087</xdr:rowOff>
    </xdr:to>
    <xdr:pic>
      <xdr:nvPicPr>
        <xdr:cNvPr id="38" name="Picture 37">
          <a:extLst>
            <a:ext uri="{FF2B5EF4-FFF2-40B4-BE49-F238E27FC236}">
              <a16:creationId xmlns:a16="http://schemas.microsoft.com/office/drawing/2014/main" id="{236BA5F7-C115-82D0-E08C-1E7326BF866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1671" y="1019439"/>
          <a:ext cx="535459" cy="535459"/>
        </a:xfrm>
        <a:prstGeom prst="rect">
          <a:avLst/>
        </a:prstGeom>
      </xdr:spPr>
    </xdr:pic>
    <xdr:clientData/>
  </xdr:twoCellAnchor>
  <xdr:twoCellAnchor editAs="oneCell">
    <xdr:from>
      <xdr:col>24</xdr:col>
      <xdr:colOff>525162</xdr:colOff>
      <xdr:row>5</xdr:row>
      <xdr:rowOff>82379</xdr:rowOff>
    </xdr:from>
    <xdr:to>
      <xdr:col>25</xdr:col>
      <xdr:colOff>525152</xdr:colOff>
      <xdr:row>8</xdr:row>
      <xdr:rowOff>72081</xdr:rowOff>
    </xdr:to>
    <xdr:pic>
      <xdr:nvPicPr>
        <xdr:cNvPr id="40" name="Picture 39">
          <a:extLst>
            <a:ext uri="{FF2B5EF4-FFF2-40B4-BE49-F238E27FC236}">
              <a16:creationId xmlns:a16="http://schemas.microsoft.com/office/drawing/2014/main" id="{B237A7C4-94FD-C590-E937-1CD0BDF4796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106135" y="1009136"/>
          <a:ext cx="607531" cy="545756"/>
        </a:xfrm>
        <a:prstGeom prst="rect">
          <a:avLst/>
        </a:prstGeom>
      </xdr:spPr>
    </xdr:pic>
    <xdr:clientData/>
  </xdr:twoCellAnchor>
  <xdr:twoCellAnchor>
    <xdr:from>
      <xdr:col>9</xdr:col>
      <xdr:colOff>34109</xdr:colOff>
      <xdr:row>5</xdr:row>
      <xdr:rowOff>60174</xdr:rowOff>
    </xdr:from>
    <xdr:to>
      <xdr:col>10</xdr:col>
      <xdr:colOff>476893</xdr:colOff>
      <xdr:row>8</xdr:row>
      <xdr:rowOff>121957</xdr:rowOff>
    </xdr:to>
    <xdr:sp macro="" textlink="">
      <xdr:nvSpPr>
        <xdr:cNvPr id="41" name="TextBox 40">
          <a:extLst>
            <a:ext uri="{FF2B5EF4-FFF2-40B4-BE49-F238E27FC236}">
              <a16:creationId xmlns:a16="http://schemas.microsoft.com/office/drawing/2014/main" id="{FC4EB465-A6D6-A112-F73C-F8167320DEE9}"/>
            </a:ext>
          </a:extLst>
        </xdr:cNvPr>
        <xdr:cNvSpPr txBox="1"/>
      </xdr:nvSpPr>
      <xdr:spPr>
        <a:xfrm>
          <a:off x="5499078" y="953143"/>
          <a:ext cx="1050003" cy="59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0">
              <a:solidFill>
                <a:srgbClr val="660000"/>
              </a:solidFill>
              <a:latin typeface="Lato black" panose="020F0502020204030203" pitchFamily="34" charset="0"/>
              <a:ea typeface="Lato black" panose="020F0502020204030203" pitchFamily="34" charset="0"/>
              <a:cs typeface="Lato black" panose="020F0502020204030203" pitchFamily="34" charset="0"/>
            </a:rPr>
            <a:t>JOB</a:t>
          </a:r>
          <a:r>
            <a:rPr lang="en-IN" sz="900" b="0" baseline="0">
              <a:solidFill>
                <a:srgbClr val="660000"/>
              </a:solidFill>
              <a:latin typeface="Lato black" panose="020F0502020204030203" pitchFamily="34" charset="0"/>
              <a:ea typeface="Lato black" panose="020F0502020204030203" pitchFamily="34" charset="0"/>
              <a:cs typeface="Lato black" panose="020F0502020204030203" pitchFamily="34" charset="0"/>
            </a:rPr>
            <a:t> SATISFACTION</a:t>
          </a:r>
        </a:p>
        <a:p>
          <a:pPr algn="ctr"/>
          <a:r>
            <a:rPr lang="en-IN" sz="900" b="0" baseline="0">
              <a:solidFill>
                <a:srgbClr val="660000"/>
              </a:solidFill>
              <a:latin typeface="Lato black" panose="020F0502020204030203" pitchFamily="34" charset="0"/>
              <a:ea typeface="Lato black" panose="020F0502020204030203" pitchFamily="34" charset="0"/>
              <a:cs typeface="Lato black" panose="020F0502020204030203" pitchFamily="34" charset="0"/>
            </a:rPr>
            <a:t>RATING</a:t>
          </a:r>
          <a:endParaRPr lang="en-IN" sz="900" b="0">
            <a:solidFill>
              <a:srgbClr val="66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381000</xdr:colOff>
      <xdr:row>5</xdr:row>
      <xdr:rowOff>82378</xdr:rowOff>
    </xdr:from>
    <xdr:to>
      <xdr:col>12</xdr:col>
      <xdr:colOff>0</xdr:colOff>
      <xdr:row>8</xdr:row>
      <xdr:rowOff>61784</xdr:rowOff>
    </xdr:to>
    <xdr:graphicFrame macro="">
      <xdr:nvGraphicFramePr>
        <xdr:cNvPr id="42" name="Chart 41">
          <a:extLst>
            <a:ext uri="{FF2B5EF4-FFF2-40B4-BE49-F238E27FC236}">
              <a16:creationId xmlns:a16="http://schemas.microsoft.com/office/drawing/2014/main" id="{46AF5055-A5E6-4E39-A409-8FC500C44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20595</xdr:colOff>
      <xdr:row>6</xdr:row>
      <xdr:rowOff>41189</xdr:rowOff>
    </xdr:from>
    <xdr:to>
      <xdr:col>11</xdr:col>
      <xdr:colOff>401595</xdr:colOff>
      <xdr:row>7</xdr:row>
      <xdr:rowOff>123568</xdr:rowOff>
    </xdr:to>
    <xdr:sp macro="" textlink="Rating!$B$7">
      <xdr:nvSpPr>
        <xdr:cNvPr id="43" name="TextBox 42">
          <a:extLst>
            <a:ext uri="{FF2B5EF4-FFF2-40B4-BE49-F238E27FC236}">
              <a16:creationId xmlns:a16="http://schemas.microsoft.com/office/drawing/2014/main" id="{275541C8-F5EE-9D3C-1005-E09C7BC0F5CB}"/>
            </a:ext>
          </a:extLst>
        </xdr:cNvPr>
        <xdr:cNvSpPr txBox="1"/>
      </xdr:nvSpPr>
      <xdr:spPr>
        <a:xfrm>
          <a:off x="6703541" y="1153297"/>
          <a:ext cx="381000" cy="26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8A2FA0-EAE9-47A8-9A5D-3DCCA086EB0E}" type="TxLink">
            <a:rPr lang="en-US" sz="1000" b="0" i="0" u="none" strike="noStrike">
              <a:solidFill>
                <a:schemeClr val="bg2">
                  <a:lumMod val="10000"/>
                </a:schemeClr>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IN" sz="1000">
            <a:solidFill>
              <a:schemeClr val="bg2">
                <a:lumMod val="1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95249</xdr:colOff>
      <xdr:row>5</xdr:row>
      <xdr:rowOff>59531</xdr:rowOff>
    </xdr:from>
    <xdr:to>
      <xdr:col>8</xdr:col>
      <xdr:colOff>571499</xdr:colOff>
      <xdr:row>8</xdr:row>
      <xdr:rowOff>83344</xdr:rowOff>
    </xdr:to>
    <xdr:graphicFrame macro="">
      <xdr:nvGraphicFramePr>
        <xdr:cNvPr id="45" name="Chart 44">
          <a:extLst>
            <a:ext uri="{FF2B5EF4-FFF2-40B4-BE49-F238E27FC236}">
              <a16:creationId xmlns:a16="http://schemas.microsoft.com/office/drawing/2014/main" id="{C625BECC-4739-403D-AC61-D58874F46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111917</xdr:colOff>
      <xdr:row>5</xdr:row>
      <xdr:rowOff>132138</xdr:rowOff>
    </xdr:from>
    <xdr:to>
      <xdr:col>8</xdr:col>
      <xdr:colOff>485503</xdr:colOff>
      <xdr:row>8</xdr:row>
      <xdr:rowOff>28571</xdr:rowOff>
    </xdr:to>
    <xdr:sp macro="" textlink="">
      <xdr:nvSpPr>
        <xdr:cNvPr id="44" name="Freeform: Shape 43">
          <a:extLst>
            <a:ext uri="{FF2B5EF4-FFF2-40B4-BE49-F238E27FC236}">
              <a16:creationId xmlns:a16="http://schemas.microsoft.com/office/drawing/2014/main" id="{4C4E0C92-4C70-E180-23EC-0B6F0F4CFC15}"/>
            </a:ext>
          </a:extLst>
        </xdr:cNvPr>
        <xdr:cNvSpPr/>
      </xdr:nvSpPr>
      <xdr:spPr>
        <a:xfrm>
          <a:off x="3755230" y="1025107"/>
          <a:ext cx="1588023" cy="432214"/>
        </a:xfrm>
        <a:custGeom>
          <a:avLst/>
          <a:gdLst>
            <a:gd name="connsiteX0" fmla="*/ 1002382 w 1602553"/>
            <a:gd name="connsiteY0" fmla="*/ 75415 h 452487"/>
            <a:gd name="connsiteX1" fmla="*/ 957875 w 1602553"/>
            <a:gd name="connsiteY1" fmla="*/ 187038 h 452487"/>
            <a:gd name="connsiteX2" fmla="*/ 813846 w 1602553"/>
            <a:gd name="connsiteY2" fmla="*/ 187037 h 452487"/>
            <a:gd name="connsiteX3" fmla="*/ 930369 w 1602553"/>
            <a:gd name="connsiteY3" fmla="*/ 256023 h 452487"/>
            <a:gd name="connsiteX4" fmla="*/ 885861 w 1602553"/>
            <a:gd name="connsiteY4" fmla="*/ 367645 h 452487"/>
            <a:gd name="connsiteX5" fmla="*/ 1002382 w 1602553"/>
            <a:gd name="connsiteY5" fmla="*/ 298658 h 452487"/>
            <a:gd name="connsiteX6" fmla="*/ 1118903 w 1602553"/>
            <a:gd name="connsiteY6" fmla="*/ 367645 h 452487"/>
            <a:gd name="connsiteX7" fmla="*/ 1074395 w 1602553"/>
            <a:gd name="connsiteY7" fmla="*/ 256023 h 452487"/>
            <a:gd name="connsiteX8" fmla="*/ 1190918 w 1602553"/>
            <a:gd name="connsiteY8" fmla="*/ 187037 h 452487"/>
            <a:gd name="connsiteX9" fmla="*/ 1046889 w 1602553"/>
            <a:gd name="connsiteY9" fmla="*/ 187038 h 452487"/>
            <a:gd name="connsiteX10" fmla="*/ 603316 w 1602553"/>
            <a:gd name="connsiteY10" fmla="*/ 75415 h 452487"/>
            <a:gd name="connsiteX11" fmla="*/ 558809 w 1602553"/>
            <a:gd name="connsiteY11" fmla="*/ 187038 h 452487"/>
            <a:gd name="connsiteX12" fmla="*/ 414780 w 1602553"/>
            <a:gd name="connsiteY12" fmla="*/ 187037 h 452487"/>
            <a:gd name="connsiteX13" fmla="*/ 531303 w 1602553"/>
            <a:gd name="connsiteY13" fmla="*/ 256023 h 452487"/>
            <a:gd name="connsiteX14" fmla="*/ 486795 w 1602553"/>
            <a:gd name="connsiteY14" fmla="*/ 367645 h 452487"/>
            <a:gd name="connsiteX15" fmla="*/ 603316 w 1602553"/>
            <a:gd name="connsiteY15" fmla="*/ 298658 h 452487"/>
            <a:gd name="connsiteX16" fmla="*/ 719837 w 1602553"/>
            <a:gd name="connsiteY16" fmla="*/ 367645 h 452487"/>
            <a:gd name="connsiteX17" fmla="*/ 675329 w 1602553"/>
            <a:gd name="connsiteY17" fmla="*/ 256023 h 452487"/>
            <a:gd name="connsiteX18" fmla="*/ 791852 w 1602553"/>
            <a:gd name="connsiteY18" fmla="*/ 187037 h 452487"/>
            <a:gd name="connsiteX19" fmla="*/ 647823 w 1602553"/>
            <a:gd name="connsiteY19" fmla="*/ 187038 h 452487"/>
            <a:gd name="connsiteX20" fmla="*/ 0 w 1602553"/>
            <a:gd name="connsiteY20" fmla="*/ 0 h 452487"/>
            <a:gd name="connsiteX21" fmla="*/ 1602553 w 1602553"/>
            <a:gd name="connsiteY21" fmla="*/ 0 h 452487"/>
            <a:gd name="connsiteX22" fmla="*/ 1602553 w 1602553"/>
            <a:gd name="connsiteY22" fmla="*/ 187037 h 452487"/>
            <a:gd name="connsiteX23" fmla="*/ 1458524 w 1602553"/>
            <a:gd name="connsiteY23" fmla="*/ 187038 h 452487"/>
            <a:gd name="connsiteX24" fmla="*/ 1414017 w 1602553"/>
            <a:gd name="connsiteY24" fmla="*/ 75415 h 452487"/>
            <a:gd name="connsiteX25" fmla="*/ 1369510 w 1602553"/>
            <a:gd name="connsiteY25" fmla="*/ 187038 h 452487"/>
            <a:gd name="connsiteX26" fmla="*/ 1225481 w 1602553"/>
            <a:gd name="connsiteY26" fmla="*/ 187037 h 452487"/>
            <a:gd name="connsiteX27" fmla="*/ 1342004 w 1602553"/>
            <a:gd name="connsiteY27" fmla="*/ 256023 h 452487"/>
            <a:gd name="connsiteX28" fmla="*/ 1297496 w 1602553"/>
            <a:gd name="connsiteY28" fmla="*/ 367645 h 452487"/>
            <a:gd name="connsiteX29" fmla="*/ 1414017 w 1602553"/>
            <a:gd name="connsiteY29" fmla="*/ 298658 h 452487"/>
            <a:gd name="connsiteX30" fmla="*/ 1530538 w 1602553"/>
            <a:gd name="connsiteY30" fmla="*/ 367645 h 452487"/>
            <a:gd name="connsiteX31" fmla="*/ 1486030 w 1602553"/>
            <a:gd name="connsiteY31" fmla="*/ 256023 h 452487"/>
            <a:gd name="connsiteX32" fmla="*/ 1602553 w 1602553"/>
            <a:gd name="connsiteY32" fmla="*/ 187037 h 452487"/>
            <a:gd name="connsiteX33" fmla="*/ 1602553 w 1602553"/>
            <a:gd name="connsiteY33" fmla="*/ 452487 h 452487"/>
            <a:gd name="connsiteX34" fmla="*/ 0 w 1602553"/>
            <a:gd name="connsiteY34" fmla="*/ 452487 h 452487"/>
            <a:gd name="connsiteX35" fmla="*/ 0 w 1602553"/>
            <a:gd name="connsiteY35" fmla="*/ 187037 h 452487"/>
            <a:gd name="connsiteX36" fmla="*/ 116523 w 1602553"/>
            <a:gd name="connsiteY36" fmla="*/ 256023 h 452487"/>
            <a:gd name="connsiteX37" fmla="*/ 72015 w 1602553"/>
            <a:gd name="connsiteY37" fmla="*/ 367645 h 452487"/>
            <a:gd name="connsiteX38" fmla="*/ 188536 w 1602553"/>
            <a:gd name="connsiteY38" fmla="*/ 298658 h 452487"/>
            <a:gd name="connsiteX39" fmla="*/ 305057 w 1602553"/>
            <a:gd name="connsiteY39" fmla="*/ 367645 h 452487"/>
            <a:gd name="connsiteX40" fmla="*/ 260549 w 1602553"/>
            <a:gd name="connsiteY40" fmla="*/ 256023 h 452487"/>
            <a:gd name="connsiteX41" fmla="*/ 377072 w 1602553"/>
            <a:gd name="connsiteY41" fmla="*/ 187037 h 452487"/>
            <a:gd name="connsiteX42" fmla="*/ 233043 w 1602553"/>
            <a:gd name="connsiteY42" fmla="*/ 187038 h 452487"/>
            <a:gd name="connsiteX43" fmla="*/ 188536 w 1602553"/>
            <a:gd name="connsiteY43" fmla="*/ 75415 h 452487"/>
            <a:gd name="connsiteX44" fmla="*/ 144029 w 1602553"/>
            <a:gd name="connsiteY44" fmla="*/ 187038 h 452487"/>
            <a:gd name="connsiteX45" fmla="*/ 0 w 1602553"/>
            <a:gd name="connsiteY45" fmla="*/ 187037 h 4524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1602553" h="452487">
              <a:moveTo>
                <a:pt x="1002382" y="75415"/>
              </a:moveTo>
              <a:lnTo>
                <a:pt x="957875" y="187038"/>
              </a:lnTo>
              <a:lnTo>
                <a:pt x="813846" y="187037"/>
              </a:lnTo>
              <a:lnTo>
                <a:pt x="930369" y="256023"/>
              </a:lnTo>
              <a:lnTo>
                <a:pt x="885861" y="367645"/>
              </a:lnTo>
              <a:lnTo>
                <a:pt x="1002382" y="298658"/>
              </a:lnTo>
              <a:lnTo>
                <a:pt x="1118903" y="367645"/>
              </a:lnTo>
              <a:lnTo>
                <a:pt x="1074395" y="256023"/>
              </a:lnTo>
              <a:lnTo>
                <a:pt x="1190918" y="187037"/>
              </a:lnTo>
              <a:lnTo>
                <a:pt x="1046889" y="187038"/>
              </a:lnTo>
              <a:close/>
              <a:moveTo>
                <a:pt x="603316" y="75415"/>
              </a:moveTo>
              <a:lnTo>
                <a:pt x="558809" y="187038"/>
              </a:lnTo>
              <a:lnTo>
                <a:pt x="414780" y="187037"/>
              </a:lnTo>
              <a:lnTo>
                <a:pt x="531303" y="256023"/>
              </a:lnTo>
              <a:lnTo>
                <a:pt x="486795" y="367645"/>
              </a:lnTo>
              <a:lnTo>
                <a:pt x="603316" y="298658"/>
              </a:lnTo>
              <a:lnTo>
                <a:pt x="719837" y="367645"/>
              </a:lnTo>
              <a:lnTo>
                <a:pt x="675329" y="256023"/>
              </a:lnTo>
              <a:lnTo>
                <a:pt x="791852" y="187037"/>
              </a:lnTo>
              <a:lnTo>
                <a:pt x="647823" y="187038"/>
              </a:lnTo>
              <a:close/>
              <a:moveTo>
                <a:pt x="0" y="0"/>
              </a:moveTo>
              <a:lnTo>
                <a:pt x="1602553" y="0"/>
              </a:lnTo>
              <a:lnTo>
                <a:pt x="1602553" y="187037"/>
              </a:lnTo>
              <a:lnTo>
                <a:pt x="1458524" y="187038"/>
              </a:lnTo>
              <a:lnTo>
                <a:pt x="1414017" y="75415"/>
              </a:lnTo>
              <a:lnTo>
                <a:pt x="1369510" y="187038"/>
              </a:lnTo>
              <a:lnTo>
                <a:pt x="1225481" y="187037"/>
              </a:lnTo>
              <a:lnTo>
                <a:pt x="1342004" y="256023"/>
              </a:lnTo>
              <a:lnTo>
                <a:pt x="1297496" y="367645"/>
              </a:lnTo>
              <a:lnTo>
                <a:pt x="1414017" y="298658"/>
              </a:lnTo>
              <a:lnTo>
                <a:pt x="1530538" y="367645"/>
              </a:lnTo>
              <a:lnTo>
                <a:pt x="1486030" y="256023"/>
              </a:lnTo>
              <a:lnTo>
                <a:pt x="1602553" y="187037"/>
              </a:lnTo>
              <a:lnTo>
                <a:pt x="1602553" y="452487"/>
              </a:lnTo>
              <a:lnTo>
                <a:pt x="0" y="452487"/>
              </a:lnTo>
              <a:lnTo>
                <a:pt x="0" y="187037"/>
              </a:lnTo>
              <a:lnTo>
                <a:pt x="116523" y="256023"/>
              </a:lnTo>
              <a:lnTo>
                <a:pt x="72015" y="367645"/>
              </a:lnTo>
              <a:lnTo>
                <a:pt x="188536" y="298658"/>
              </a:lnTo>
              <a:lnTo>
                <a:pt x="305057" y="367645"/>
              </a:lnTo>
              <a:lnTo>
                <a:pt x="260549" y="256023"/>
              </a:lnTo>
              <a:lnTo>
                <a:pt x="377072" y="187037"/>
              </a:lnTo>
              <a:lnTo>
                <a:pt x="233043" y="187038"/>
              </a:lnTo>
              <a:lnTo>
                <a:pt x="188536" y="75415"/>
              </a:lnTo>
              <a:lnTo>
                <a:pt x="144029" y="187038"/>
              </a:lnTo>
              <a:lnTo>
                <a:pt x="0" y="187037"/>
              </a:lnTo>
              <a:close/>
            </a:path>
          </a:pathLst>
        </a:cu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605517</xdr:colOff>
      <xdr:row>19</xdr:row>
      <xdr:rowOff>18879</xdr:rowOff>
    </xdr:from>
    <xdr:to>
      <xdr:col>12</xdr:col>
      <xdr:colOff>21456</xdr:colOff>
      <xdr:row>27</xdr:row>
      <xdr:rowOff>30129</xdr:rowOff>
    </xdr:to>
    <xdr:grpSp>
      <xdr:nvGrpSpPr>
        <xdr:cNvPr id="55" name="Group 54">
          <a:extLst>
            <a:ext uri="{FF2B5EF4-FFF2-40B4-BE49-F238E27FC236}">
              <a16:creationId xmlns:a16="http://schemas.microsoft.com/office/drawing/2014/main" id="{76CADF4A-9F92-66DF-6112-17D73DE66AD5}"/>
            </a:ext>
          </a:extLst>
        </xdr:cNvPr>
        <xdr:cNvGrpSpPr/>
      </xdr:nvGrpSpPr>
      <xdr:grpSpPr>
        <a:xfrm>
          <a:off x="3641611" y="3412160"/>
          <a:ext cx="3666470" cy="1440000"/>
          <a:chOff x="3641611" y="3412160"/>
          <a:chExt cx="3666470" cy="1440000"/>
        </a:xfrm>
      </xdr:grpSpPr>
      <xdr:graphicFrame macro="">
        <xdr:nvGraphicFramePr>
          <xdr:cNvPr id="46" name="Chart 45">
            <a:extLst>
              <a:ext uri="{FF2B5EF4-FFF2-40B4-BE49-F238E27FC236}">
                <a16:creationId xmlns:a16="http://schemas.microsoft.com/office/drawing/2014/main" id="{07293B02-5633-41FD-AD68-685C30B05787}"/>
              </a:ext>
            </a:extLst>
          </xdr:cNvPr>
          <xdr:cNvGraphicFramePr>
            <a:graphicFrameLocks/>
          </xdr:cNvGraphicFramePr>
        </xdr:nvGraphicFramePr>
        <xdr:xfrm>
          <a:off x="3641611" y="3412160"/>
          <a:ext cx="1440000" cy="14400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7" name="Chart 46">
            <a:extLst>
              <a:ext uri="{FF2B5EF4-FFF2-40B4-BE49-F238E27FC236}">
                <a16:creationId xmlns:a16="http://schemas.microsoft.com/office/drawing/2014/main" id="{7BE68D08-97E7-4230-B705-96C893498AC6}"/>
              </a:ext>
            </a:extLst>
          </xdr:cNvPr>
          <xdr:cNvGraphicFramePr>
            <a:graphicFrameLocks/>
          </xdr:cNvGraphicFramePr>
        </xdr:nvGraphicFramePr>
        <xdr:xfrm>
          <a:off x="5868081" y="3412160"/>
          <a:ext cx="1440000" cy="1440000"/>
        </xdr:xfrm>
        <a:graphic>
          <a:graphicData uri="http://schemas.openxmlformats.org/drawingml/2006/chart">
            <c:chart xmlns:c="http://schemas.openxmlformats.org/drawingml/2006/chart" xmlns:r="http://schemas.openxmlformats.org/officeDocument/2006/relationships" r:id="rId13"/>
          </a:graphicData>
        </a:graphic>
      </xdr:graphicFrame>
      <xdr:pic>
        <xdr:nvPicPr>
          <xdr:cNvPr id="49" name="Graphic 48" descr="School boy">
            <a:extLst>
              <a:ext uri="{FF2B5EF4-FFF2-40B4-BE49-F238E27FC236}">
                <a16:creationId xmlns:a16="http://schemas.microsoft.com/office/drawing/2014/main" id="{B688C9CB-3D36-65B2-D67D-D2F75275179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69719" y="3789609"/>
            <a:ext cx="792000" cy="792000"/>
          </a:xfrm>
          <a:prstGeom prst="rect">
            <a:avLst/>
          </a:prstGeom>
        </xdr:spPr>
      </xdr:pic>
      <xdr:pic>
        <xdr:nvPicPr>
          <xdr:cNvPr id="51" name="Graphic 50" descr="Female Profile">
            <a:extLst>
              <a:ext uri="{FF2B5EF4-FFF2-40B4-BE49-F238E27FC236}">
                <a16:creationId xmlns:a16="http://schemas.microsoft.com/office/drawing/2014/main" id="{5D821B60-6D03-0E09-1C9E-5F2C07E7136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829155" y="3849422"/>
            <a:ext cx="720000" cy="720000"/>
          </a:xfrm>
          <a:prstGeom prst="rect">
            <a:avLst/>
          </a:prstGeom>
        </xdr:spPr>
      </xdr:pic>
      <xdr:sp macro="" textlink="Gender!$B$10">
        <xdr:nvSpPr>
          <xdr:cNvPr id="52" name="TextBox 51">
            <a:extLst>
              <a:ext uri="{FF2B5EF4-FFF2-40B4-BE49-F238E27FC236}">
                <a16:creationId xmlns:a16="http://schemas.microsoft.com/office/drawing/2014/main" id="{96692D27-B362-4F10-9705-26969FD99AB8}"/>
              </a:ext>
            </a:extLst>
          </xdr:cNvPr>
          <xdr:cNvSpPr txBox="1"/>
        </xdr:nvSpPr>
        <xdr:spPr>
          <a:xfrm>
            <a:off x="3988594" y="3857625"/>
            <a:ext cx="750094" cy="50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D1ACEA-F7B2-4D12-964F-EEA4FA630ADD}" type="TxLink">
              <a:rPr lang="en-US" sz="2000" b="0" i="0" u="none" strike="noStrike">
                <a:solidFill>
                  <a:srgbClr val="FD5E53"/>
                </a:solidFill>
                <a:latin typeface="Lato black" panose="020F0502020204030203" pitchFamily="34" charset="0"/>
                <a:ea typeface="Lato black" panose="020F0502020204030203" pitchFamily="34" charset="0"/>
                <a:cs typeface="Lato black" panose="020F0502020204030203" pitchFamily="34" charset="0"/>
              </a:rPr>
              <a:pPr algn="ctr"/>
              <a:t>588</a:t>
            </a:fld>
            <a:endParaRPr lang="en-US" sz="2000">
              <a:solidFill>
                <a:srgbClr val="FD5E53"/>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B$11">
        <xdr:nvSpPr>
          <xdr:cNvPr id="53" name="TextBox 52">
            <a:extLst>
              <a:ext uri="{FF2B5EF4-FFF2-40B4-BE49-F238E27FC236}">
                <a16:creationId xmlns:a16="http://schemas.microsoft.com/office/drawing/2014/main" id="{EA3E11CF-9FA5-4C3F-8EEB-95ECDA69EC4F}"/>
              </a:ext>
            </a:extLst>
          </xdr:cNvPr>
          <xdr:cNvSpPr txBox="1"/>
        </xdr:nvSpPr>
        <xdr:spPr>
          <a:xfrm>
            <a:off x="6250781" y="3845719"/>
            <a:ext cx="666750"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1E2ACC-C98A-46F9-9FD5-ADCC05A9EE5C}" type="TxLink">
              <a:rPr lang="en-US" sz="2000" b="0" i="0" u="none" strike="noStrike">
                <a:solidFill>
                  <a:srgbClr val="FD5E53"/>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IN" sz="2000">
              <a:solidFill>
                <a:srgbClr val="FD5E53"/>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6</xdr:col>
      <xdr:colOff>83343</xdr:colOff>
      <xdr:row>14</xdr:row>
      <xdr:rowOff>71437</xdr:rowOff>
    </xdr:from>
    <xdr:to>
      <xdr:col>10</xdr:col>
      <xdr:colOff>130968</xdr:colOff>
      <xdr:row>16</xdr:row>
      <xdr:rowOff>23813</xdr:rowOff>
    </xdr:to>
    <xdr:sp macro="" textlink="">
      <xdr:nvSpPr>
        <xdr:cNvPr id="56" name="TextBox 55">
          <a:extLst>
            <a:ext uri="{FF2B5EF4-FFF2-40B4-BE49-F238E27FC236}">
              <a16:creationId xmlns:a16="http://schemas.microsoft.com/office/drawing/2014/main" id="{8983AFC2-B206-C0FD-88A4-4C01D1B10FF5}"/>
            </a:ext>
          </a:extLst>
        </xdr:cNvPr>
        <xdr:cNvSpPr txBox="1"/>
      </xdr:nvSpPr>
      <xdr:spPr>
        <a:xfrm>
          <a:off x="3726656" y="2571750"/>
          <a:ext cx="2476500"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60000"/>
              </a:solidFill>
              <a:latin typeface="Lato black" panose="020F0502020204030203" pitchFamily="34" charset="0"/>
              <a:ea typeface="Lato black" panose="020F0502020204030203" pitchFamily="34" charset="0"/>
              <a:cs typeface="Lato black" panose="020F0502020204030203" pitchFamily="34" charset="0"/>
            </a:rPr>
            <a:t>Total Employees by Gender</a:t>
          </a:r>
        </a:p>
      </xdr:txBody>
    </xdr:sp>
    <xdr:clientData/>
  </xdr:twoCellAnchor>
  <xdr:twoCellAnchor editAs="oneCell">
    <xdr:from>
      <xdr:col>7</xdr:col>
      <xdr:colOff>297656</xdr:colOff>
      <xdr:row>16</xdr:row>
      <xdr:rowOff>107157</xdr:rowOff>
    </xdr:from>
    <xdr:to>
      <xdr:col>10</xdr:col>
      <xdr:colOff>304799</xdr:colOff>
      <xdr:row>19</xdr:row>
      <xdr:rowOff>166688</xdr:rowOff>
    </xdr:to>
    <mc:AlternateContent xmlns:mc="http://schemas.openxmlformats.org/markup-compatibility/2006" xmlns:a14="http://schemas.microsoft.com/office/drawing/2010/main">
      <mc:Choice Requires="a14">
        <xdr:graphicFrame macro="">
          <xdr:nvGraphicFramePr>
            <xdr:cNvPr id="60" name="Gender 2">
              <a:extLst>
                <a:ext uri="{FF2B5EF4-FFF2-40B4-BE49-F238E27FC236}">
                  <a16:creationId xmlns:a16="http://schemas.microsoft.com/office/drawing/2014/main" id="{6B09828A-91EB-475C-A1F8-5D964A9EF8D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548187" y="2964657"/>
              <a:ext cx="1828800" cy="595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105455</xdr:colOff>
      <xdr:row>17</xdr:row>
      <xdr:rowOff>-1</xdr:rowOff>
    </xdr:from>
    <xdr:to>
      <xdr:col>25</xdr:col>
      <xdr:colOff>535781</xdr:colOff>
      <xdr:row>27</xdr:row>
      <xdr:rowOff>130969</xdr:rowOff>
    </xdr:to>
    <xdr:graphicFrame macro="">
      <xdr:nvGraphicFramePr>
        <xdr:cNvPr id="16" name="Chart 15">
          <a:extLst>
            <a:ext uri="{FF2B5EF4-FFF2-40B4-BE49-F238E27FC236}">
              <a16:creationId xmlns:a16="http://schemas.microsoft.com/office/drawing/2014/main" id="{9D6579A2-FA37-4A20-B964-A28AF77DF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140494</xdr:colOff>
      <xdr:row>14</xdr:row>
      <xdr:rowOff>104774</xdr:rowOff>
    </xdr:from>
    <xdr:to>
      <xdr:col>23</xdr:col>
      <xdr:colOff>188119</xdr:colOff>
      <xdr:row>16</xdr:row>
      <xdr:rowOff>57150</xdr:rowOff>
    </xdr:to>
    <xdr:sp macro="" textlink="">
      <xdr:nvSpPr>
        <xdr:cNvPr id="17" name="TextBox 16">
          <a:extLst>
            <a:ext uri="{FF2B5EF4-FFF2-40B4-BE49-F238E27FC236}">
              <a16:creationId xmlns:a16="http://schemas.microsoft.com/office/drawing/2014/main" id="{B605FF52-413C-4C71-90D2-771F8FE29F99}"/>
            </a:ext>
          </a:extLst>
        </xdr:cNvPr>
        <xdr:cNvSpPr txBox="1"/>
      </xdr:nvSpPr>
      <xdr:spPr>
        <a:xfrm>
          <a:off x="11677650" y="2605087"/>
          <a:ext cx="2476500"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a:solidFill>
                <a:srgbClr val="660000"/>
              </a:solidFill>
              <a:latin typeface="Lato black" panose="020F0502020204030203" pitchFamily="34" charset="0"/>
              <a:ea typeface="Lato black" panose="020F0502020204030203" pitchFamily="34" charset="0"/>
              <a:cs typeface="Lato black" panose="020F0502020204030203" pitchFamily="34" charset="0"/>
            </a:rPr>
            <a:t>Attrition</a:t>
          </a:r>
          <a:r>
            <a:rPr lang="en-IN" sz="1300" baseline="0">
              <a:solidFill>
                <a:srgbClr val="660000"/>
              </a:solidFill>
              <a:latin typeface="Lato black" panose="020F0502020204030203" pitchFamily="34" charset="0"/>
              <a:ea typeface="Lato black" panose="020F0502020204030203" pitchFamily="34" charset="0"/>
              <a:cs typeface="Lato black" panose="020F0502020204030203" pitchFamily="34" charset="0"/>
            </a:rPr>
            <a:t> by Job Role</a:t>
          </a:r>
          <a:endParaRPr lang="en-IN" sz="1300">
            <a:solidFill>
              <a:srgbClr val="66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22111</xdr:colOff>
      <xdr:row>27</xdr:row>
      <xdr:rowOff>23814</xdr:rowOff>
    </xdr:from>
    <xdr:to>
      <xdr:col>21</xdr:col>
      <xdr:colOff>571500</xdr:colOff>
      <xdr:row>42</xdr:row>
      <xdr:rowOff>1</xdr:rowOff>
    </xdr:to>
    <xdr:graphicFrame macro="">
      <xdr:nvGraphicFramePr>
        <xdr:cNvPr id="18" name="Chart 17">
          <a:extLst>
            <a:ext uri="{FF2B5EF4-FFF2-40B4-BE49-F238E27FC236}">
              <a16:creationId xmlns:a16="http://schemas.microsoft.com/office/drawing/2014/main" id="{340769F0-1E02-4F3F-B42A-43B64C5B6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523875</xdr:colOff>
      <xdr:row>28</xdr:row>
      <xdr:rowOff>47625</xdr:rowOff>
    </xdr:from>
    <xdr:to>
      <xdr:col>21</xdr:col>
      <xdr:colOff>473869</xdr:colOff>
      <xdr:row>30</xdr:row>
      <xdr:rowOff>59531</xdr:rowOff>
    </xdr:to>
    <xdr:sp macro="" textlink="">
      <xdr:nvSpPr>
        <xdr:cNvPr id="19" name="TextBox 18">
          <a:extLst>
            <a:ext uri="{FF2B5EF4-FFF2-40B4-BE49-F238E27FC236}">
              <a16:creationId xmlns:a16="http://schemas.microsoft.com/office/drawing/2014/main" id="{B77F0E86-0760-44E7-BB3C-3BD03D978708}"/>
            </a:ext>
          </a:extLst>
        </xdr:cNvPr>
        <xdr:cNvSpPr txBox="1"/>
      </xdr:nvSpPr>
      <xdr:spPr>
        <a:xfrm>
          <a:off x="10239375" y="5048250"/>
          <a:ext cx="2986088" cy="369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300">
              <a:solidFill>
                <a:srgbClr val="660000"/>
              </a:solidFill>
              <a:latin typeface="Lato black" panose="020F0502020204030203" pitchFamily="34" charset="0"/>
              <a:ea typeface="Lato black" panose="020F0502020204030203" pitchFamily="34" charset="0"/>
              <a:cs typeface="Lato black" panose="020F0502020204030203" pitchFamily="34" charset="0"/>
            </a:rPr>
            <a:t>Total Attrition</a:t>
          </a:r>
          <a:r>
            <a:rPr lang="en-IN" sz="1300" baseline="0">
              <a:solidFill>
                <a:srgbClr val="660000"/>
              </a:solidFill>
              <a:latin typeface="Lato black" panose="020F0502020204030203" pitchFamily="34" charset="0"/>
              <a:ea typeface="Lato black" panose="020F0502020204030203" pitchFamily="34" charset="0"/>
              <a:cs typeface="Lato black" panose="020F0502020204030203" pitchFamily="34" charset="0"/>
            </a:rPr>
            <a:t> by </a:t>
          </a:r>
          <a:r>
            <a:rPr lang="en-IN" sz="1300">
              <a:solidFill>
                <a:srgbClr val="660000"/>
              </a:solidFill>
              <a:latin typeface="Lato black" panose="020F0502020204030203" pitchFamily="34" charset="0"/>
              <a:ea typeface="Lato black" panose="020F0502020204030203" pitchFamily="34" charset="0"/>
              <a:cs typeface="Lato black" panose="020F0502020204030203" pitchFamily="34" charset="0"/>
            </a:rPr>
            <a:t>Marital_status&amp;age</a:t>
          </a:r>
        </a:p>
      </xdr:txBody>
    </xdr:sp>
    <xdr:clientData/>
  </xdr:twoCellAnchor>
  <xdr:twoCellAnchor>
    <xdr:from>
      <xdr:col>12</xdr:col>
      <xdr:colOff>35719</xdr:colOff>
      <xdr:row>15</xdr:row>
      <xdr:rowOff>154782</xdr:rowOff>
    </xdr:from>
    <xdr:to>
      <xdr:col>19</xdr:col>
      <xdr:colOff>95250</xdr:colOff>
      <xdr:row>27</xdr:row>
      <xdr:rowOff>119062</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813913BE-B458-460F-A26E-BD00BCADD9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7350919" y="2897982"/>
              <a:ext cx="4326731" cy="2158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21431</xdr:colOff>
      <xdr:row>14</xdr:row>
      <xdr:rowOff>69056</xdr:rowOff>
    </xdr:from>
    <xdr:to>
      <xdr:col>16</xdr:col>
      <xdr:colOff>69056</xdr:colOff>
      <xdr:row>16</xdr:row>
      <xdr:rowOff>21432</xdr:rowOff>
    </xdr:to>
    <xdr:sp macro="" textlink="">
      <xdr:nvSpPr>
        <xdr:cNvPr id="22" name="TextBox 21">
          <a:extLst>
            <a:ext uri="{FF2B5EF4-FFF2-40B4-BE49-F238E27FC236}">
              <a16:creationId xmlns:a16="http://schemas.microsoft.com/office/drawing/2014/main" id="{82014175-F11C-447D-BC18-422B383B1C6E}"/>
            </a:ext>
          </a:extLst>
        </xdr:cNvPr>
        <xdr:cNvSpPr txBox="1"/>
      </xdr:nvSpPr>
      <xdr:spPr>
        <a:xfrm>
          <a:off x="7308056" y="2569369"/>
          <a:ext cx="2476500"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60000"/>
              </a:solidFill>
              <a:latin typeface="Lato black" panose="020F0502020204030203" pitchFamily="34" charset="0"/>
              <a:ea typeface="Lato black" panose="020F0502020204030203" pitchFamily="34" charset="0"/>
              <a:cs typeface="Lato black" panose="020F0502020204030203" pitchFamily="34" charset="0"/>
            </a:rPr>
            <a:t>Total Employees by Gender</a:t>
          </a:r>
        </a:p>
      </xdr:txBody>
    </xdr:sp>
    <xdr:clientData/>
  </xdr:twoCellAnchor>
  <xdr:twoCellAnchor>
    <xdr:from>
      <xdr:col>6</xdr:col>
      <xdr:colOff>59531</xdr:colOff>
      <xdr:row>30</xdr:row>
      <xdr:rowOff>83343</xdr:rowOff>
    </xdr:from>
    <xdr:to>
      <xdr:col>11</xdr:col>
      <xdr:colOff>535781</xdr:colOff>
      <xdr:row>41</xdr:row>
      <xdr:rowOff>164851</xdr:rowOff>
    </xdr:to>
    <xdr:graphicFrame macro="">
      <xdr:nvGraphicFramePr>
        <xdr:cNvPr id="24" name="Chart 23">
          <a:extLst>
            <a:ext uri="{FF2B5EF4-FFF2-40B4-BE49-F238E27FC236}">
              <a16:creationId xmlns:a16="http://schemas.microsoft.com/office/drawing/2014/main" id="{8BAF277C-6663-4F13-BA0B-0E7BA80C5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xdr:col>
      <xdr:colOff>69735</xdr:colOff>
      <xdr:row>28</xdr:row>
      <xdr:rowOff>60552</xdr:rowOff>
    </xdr:from>
    <xdr:to>
      <xdr:col>9</xdr:col>
      <xdr:colOff>583406</xdr:colOff>
      <xdr:row>29</xdr:row>
      <xdr:rowOff>166687</xdr:rowOff>
    </xdr:to>
    <xdr:sp macro="" textlink="">
      <xdr:nvSpPr>
        <xdr:cNvPr id="26" name="TextBox 25">
          <a:extLst>
            <a:ext uri="{FF2B5EF4-FFF2-40B4-BE49-F238E27FC236}">
              <a16:creationId xmlns:a16="http://schemas.microsoft.com/office/drawing/2014/main" id="{475B9A76-9731-4019-A8E7-F9A65744BC59}"/>
            </a:ext>
          </a:extLst>
        </xdr:cNvPr>
        <xdr:cNvSpPr txBox="1"/>
      </xdr:nvSpPr>
      <xdr:spPr>
        <a:xfrm>
          <a:off x="3713048" y="5061177"/>
          <a:ext cx="2335327" cy="284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60000"/>
              </a:solidFill>
              <a:latin typeface="Lato black" panose="020F0502020204030203" pitchFamily="34" charset="0"/>
              <a:ea typeface="Lato black" panose="020F0502020204030203" pitchFamily="34" charset="0"/>
              <a:cs typeface="Lato black" panose="020F0502020204030203" pitchFamily="34" charset="0"/>
            </a:rPr>
            <a:t>Department</a:t>
          </a:r>
          <a:r>
            <a:rPr lang="en-IN" sz="1300" baseline="0">
              <a:solidFill>
                <a:srgbClr val="660000"/>
              </a:solidFill>
              <a:latin typeface="Lato black" panose="020F0502020204030203" pitchFamily="34" charset="0"/>
              <a:ea typeface="Lato black" panose="020F0502020204030203" pitchFamily="34" charset="0"/>
              <a:cs typeface="Lato black" panose="020F0502020204030203" pitchFamily="34" charset="0"/>
            </a:rPr>
            <a:t> wise Attrition</a:t>
          </a:r>
        </a:p>
      </xdr:txBody>
    </xdr:sp>
    <xdr:clientData/>
  </xdr:twoCellAnchor>
  <xdr:twoCellAnchor editAs="oneCell">
    <xdr:from>
      <xdr:col>21</xdr:col>
      <xdr:colOff>571499</xdr:colOff>
      <xdr:row>31</xdr:row>
      <xdr:rowOff>11904</xdr:rowOff>
    </xdr:from>
    <xdr:to>
      <xdr:col>24</xdr:col>
      <xdr:colOff>285750</xdr:colOff>
      <xdr:row>41</xdr:row>
      <xdr:rowOff>178592</xdr:rowOff>
    </xdr:to>
    <mc:AlternateContent xmlns:mc="http://schemas.openxmlformats.org/markup-compatibility/2006" xmlns:a14="http://schemas.microsoft.com/office/drawing/2010/main">
      <mc:Choice Requires="a14">
        <xdr:graphicFrame macro="">
          <xdr:nvGraphicFramePr>
            <xdr:cNvPr id="28" name="Education Field 2">
              <a:extLst>
                <a:ext uri="{FF2B5EF4-FFF2-40B4-BE49-F238E27FC236}">
                  <a16:creationId xmlns:a16="http://schemas.microsoft.com/office/drawing/2014/main" id="{F295D87E-6E49-4F16-9ED7-F28943438461}"/>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3323093" y="5548310"/>
              <a:ext cx="1535907" cy="1952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309562</xdr:colOff>
      <xdr:row>31</xdr:row>
      <xdr:rowOff>1</xdr:rowOff>
    </xdr:from>
    <xdr:to>
      <xdr:col>25</xdr:col>
      <xdr:colOff>511969</xdr:colOff>
      <xdr:row>37</xdr:row>
      <xdr:rowOff>166687</xdr:rowOff>
    </xdr:to>
    <mc:AlternateContent xmlns:mc="http://schemas.openxmlformats.org/markup-compatibility/2006" xmlns:a14="http://schemas.microsoft.com/office/drawing/2010/main">
      <mc:Choice Requires="a14">
        <xdr:graphicFrame macro="">
          <xdr:nvGraphicFramePr>
            <xdr:cNvPr id="29" name="Department 1">
              <a:extLst>
                <a:ext uri="{FF2B5EF4-FFF2-40B4-BE49-F238E27FC236}">
                  <a16:creationId xmlns:a16="http://schemas.microsoft.com/office/drawing/2014/main" id="{BE028637-B73C-44AD-9727-5E5FB36013A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882812" y="5536407"/>
              <a:ext cx="809626" cy="1238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xdr:colOff>
      <xdr:row>29</xdr:row>
      <xdr:rowOff>83344</xdr:rowOff>
    </xdr:from>
    <xdr:to>
      <xdr:col>24</xdr:col>
      <xdr:colOff>71438</xdr:colOff>
      <xdr:row>31</xdr:row>
      <xdr:rowOff>11907</xdr:rowOff>
    </xdr:to>
    <xdr:sp macro="" textlink="">
      <xdr:nvSpPr>
        <xdr:cNvPr id="30" name="TextBox 29">
          <a:extLst>
            <a:ext uri="{FF2B5EF4-FFF2-40B4-BE49-F238E27FC236}">
              <a16:creationId xmlns:a16="http://schemas.microsoft.com/office/drawing/2014/main" id="{6E6853F8-68F9-E096-9411-80DAA3631915}"/>
            </a:ext>
          </a:extLst>
        </xdr:cNvPr>
        <xdr:cNvSpPr txBox="1"/>
      </xdr:nvSpPr>
      <xdr:spPr>
        <a:xfrm>
          <a:off x="13358812" y="5262563"/>
          <a:ext cx="128587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50000"/>
                </a:schemeClr>
              </a:solidFill>
              <a:effectLst/>
            </a:rPr>
            <a:t>Education Felid</a:t>
          </a:r>
        </a:p>
      </xdr:txBody>
    </xdr:sp>
    <xdr:clientData/>
  </xdr:twoCellAnchor>
  <xdr:twoCellAnchor>
    <xdr:from>
      <xdr:col>24</xdr:col>
      <xdr:colOff>190502</xdr:colOff>
      <xdr:row>29</xdr:row>
      <xdr:rowOff>119062</xdr:rowOff>
    </xdr:from>
    <xdr:to>
      <xdr:col>26</xdr:col>
      <xdr:colOff>11906</xdr:colOff>
      <xdr:row>30</xdr:row>
      <xdr:rowOff>130968</xdr:rowOff>
    </xdr:to>
    <xdr:sp macro="" textlink="">
      <xdr:nvSpPr>
        <xdr:cNvPr id="32" name="TextBox 31">
          <a:extLst>
            <a:ext uri="{FF2B5EF4-FFF2-40B4-BE49-F238E27FC236}">
              <a16:creationId xmlns:a16="http://schemas.microsoft.com/office/drawing/2014/main" id="{E9E4A2CD-A67A-4AAB-A41B-EBBF23E4AFE1}"/>
            </a:ext>
          </a:extLst>
        </xdr:cNvPr>
        <xdr:cNvSpPr txBox="1"/>
      </xdr:nvSpPr>
      <xdr:spPr>
        <a:xfrm>
          <a:off x="14763752" y="5298281"/>
          <a:ext cx="1035842"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50000"/>
                </a:schemeClr>
              </a:solidFill>
              <a:effectLst/>
            </a:rPr>
            <a:t>Department</a:t>
          </a:r>
        </a:p>
      </xdr:txBody>
    </xdr:sp>
    <xdr:clientData/>
  </xdr:twoCellAnchor>
  <xdr:twoCellAnchor>
    <xdr:from>
      <xdr:col>23</xdr:col>
      <xdr:colOff>293574</xdr:colOff>
      <xdr:row>27</xdr:row>
      <xdr:rowOff>165327</xdr:rowOff>
    </xdr:from>
    <xdr:to>
      <xdr:col>24</xdr:col>
      <xdr:colOff>369095</xdr:colOff>
      <xdr:row>29</xdr:row>
      <xdr:rowOff>107156</xdr:rowOff>
    </xdr:to>
    <xdr:sp macro="" textlink="">
      <xdr:nvSpPr>
        <xdr:cNvPr id="33" name="TextBox 32">
          <a:extLst>
            <a:ext uri="{FF2B5EF4-FFF2-40B4-BE49-F238E27FC236}">
              <a16:creationId xmlns:a16="http://schemas.microsoft.com/office/drawing/2014/main" id="{ACEEF8DB-38A1-4A3F-B42A-E98D273AD29D}"/>
            </a:ext>
          </a:extLst>
        </xdr:cNvPr>
        <xdr:cNvSpPr txBox="1"/>
      </xdr:nvSpPr>
      <xdr:spPr>
        <a:xfrm>
          <a:off x="14259605" y="4987358"/>
          <a:ext cx="682740" cy="29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aseline="0">
              <a:solidFill>
                <a:srgbClr val="660000"/>
              </a:solidFill>
              <a:latin typeface="Lato black" panose="020F0502020204030203" pitchFamily="34" charset="0"/>
              <a:ea typeface="Lato black" panose="020F0502020204030203" pitchFamily="34" charset="0"/>
              <a:cs typeface="Lato black" panose="020F0502020204030203" pitchFamily="34" charset="0"/>
            </a:rPr>
            <a:t>Filters</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0.38272</cdr:x>
      <cdr:y>0.28846</cdr:y>
    </cdr:from>
    <cdr:to>
      <cdr:x>0.67901</cdr:x>
      <cdr:y>0.55769</cdr:y>
    </cdr:to>
    <cdr:sp macro="" textlink="">
      <cdr:nvSpPr>
        <cdr:cNvPr id="2" name="TextBox 1">
          <a:extLst xmlns:a="http://schemas.openxmlformats.org/drawingml/2006/main">
            <a:ext uri="{FF2B5EF4-FFF2-40B4-BE49-F238E27FC236}">
              <a16:creationId xmlns:a16="http://schemas.microsoft.com/office/drawing/2014/main" id="{169A5E6E-03FB-82C4-3AB9-9FFB3572977A}"/>
            </a:ext>
          </a:extLst>
        </cdr:cNvPr>
        <cdr:cNvSpPr txBox="1"/>
      </cdr:nvSpPr>
      <cdr:spPr>
        <a:xfrm xmlns:a="http://schemas.openxmlformats.org/drawingml/2006/main">
          <a:off x="319217" y="154460"/>
          <a:ext cx="247135" cy="1441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0.647983564813" createdVersion="8" refreshedVersion="8" minRefreshableVersion="3" recordCount="1470" xr:uid="{B05213EB-A0C2-48BE-92A2-4C79EAE45EBC}">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0409490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x v="0"/>
    <n v="1"/>
    <n v="80"/>
    <n v="0"/>
    <n v="8"/>
    <n v="1"/>
    <n v="6"/>
    <n v="4"/>
    <n v="0"/>
    <n v="5"/>
  </r>
  <r>
    <s v="No"/>
    <s v="Travel_Frequently"/>
    <x v="1"/>
    <s v="Current Employees"/>
    <x v="1"/>
    <x v="0"/>
    <s v="STAFF-2"/>
    <n v="2"/>
    <x v="1"/>
    <x v="1"/>
    <x v="1"/>
    <s v="No"/>
    <s v="Y"/>
    <n v="3"/>
    <n v="-2"/>
    <n v="0"/>
    <n v="49"/>
    <n v="0"/>
    <m/>
    <n v="0"/>
    <n v="1"/>
    <n v="279"/>
    <n v="8"/>
    <x v="1"/>
    <n v="1"/>
    <n v="3"/>
    <n v="61"/>
    <n v="2"/>
    <n v="2"/>
    <n v="2"/>
    <n v="5130"/>
    <n v="24907"/>
    <n v="1"/>
    <n v="23"/>
    <x v="1"/>
    <n v="4"/>
    <n v="80"/>
    <n v="1"/>
    <n v="10"/>
    <n v="3"/>
    <n v="10"/>
    <n v="7"/>
    <n v="1"/>
    <n v="7"/>
  </r>
  <r>
    <s v="Yes"/>
    <s v="Travel_Rarely"/>
    <x v="0"/>
    <s v="Ex-Employees"/>
    <x v="1"/>
    <x v="1"/>
    <s v="STAFF-4"/>
    <n v="4"/>
    <x v="1"/>
    <x v="2"/>
    <x v="0"/>
    <s v="Yes"/>
    <s v="Y"/>
    <n v="3"/>
    <n v="-2"/>
    <n v="0"/>
    <n v="37"/>
    <n v="1"/>
    <n v="1"/>
    <n v="1"/>
    <n v="0"/>
    <n v="1373"/>
    <n v="2"/>
    <x v="0"/>
    <n v="1"/>
    <n v="4"/>
    <n v="92"/>
    <n v="2"/>
    <n v="1"/>
    <n v="3"/>
    <n v="2090"/>
    <n v="2396"/>
    <n v="6"/>
    <n v="15"/>
    <x v="0"/>
    <n v="2"/>
    <n v="80"/>
    <n v="0"/>
    <n v="7"/>
    <n v="3"/>
    <n v="0"/>
    <n v="0"/>
    <n v="0"/>
    <n v="0"/>
  </r>
  <r>
    <s v="No"/>
    <s v="Travel_Frequently"/>
    <x v="2"/>
    <s v="Current Employees"/>
    <x v="1"/>
    <x v="0"/>
    <s v="STAFF-5"/>
    <n v="5"/>
    <x v="0"/>
    <x v="1"/>
    <x v="1"/>
    <s v="Yes"/>
    <s v="Y"/>
    <n v="3"/>
    <n v="-2"/>
    <n v="0"/>
    <n v="33"/>
    <n v="0"/>
    <m/>
    <n v="0"/>
    <n v="1"/>
    <n v="1392"/>
    <n v="3"/>
    <x v="2"/>
    <n v="1"/>
    <n v="4"/>
    <n v="56"/>
    <n v="3"/>
    <n v="1"/>
    <n v="3"/>
    <n v="2909"/>
    <n v="23159"/>
    <n v="1"/>
    <n v="11"/>
    <x v="0"/>
    <n v="3"/>
    <n v="80"/>
    <n v="0"/>
    <n v="8"/>
    <n v="3"/>
    <n v="8"/>
    <n v="7"/>
    <n v="3"/>
    <n v="0"/>
  </r>
  <r>
    <s v="No"/>
    <s v="Travel_Rarely"/>
    <x v="2"/>
    <s v="Current Employees"/>
    <x v="1"/>
    <x v="2"/>
    <s v="STAFF-7"/>
    <n v="7"/>
    <x v="1"/>
    <x v="2"/>
    <x v="1"/>
    <s v="No"/>
    <s v="Y"/>
    <n v="3"/>
    <n v="-2"/>
    <n v="0"/>
    <n v="27"/>
    <n v="0"/>
    <m/>
    <n v="0"/>
    <n v="1"/>
    <n v="591"/>
    <n v="2"/>
    <x v="1"/>
    <n v="1"/>
    <n v="1"/>
    <n v="40"/>
    <n v="3"/>
    <n v="1"/>
    <n v="2"/>
    <n v="3468"/>
    <n v="16632"/>
    <n v="9"/>
    <n v="12"/>
    <x v="0"/>
    <n v="4"/>
    <n v="80"/>
    <n v="1"/>
    <n v="6"/>
    <n v="3"/>
    <n v="2"/>
    <n v="2"/>
    <n v="2"/>
    <n v="2"/>
  </r>
  <r>
    <s v="No"/>
    <s v="Travel_Frequently"/>
    <x v="2"/>
    <s v="Current Employees"/>
    <x v="1"/>
    <x v="0"/>
    <s v="STAFF-8"/>
    <n v="8"/>
    <x v="1"/>
    <x v="2"/>
    <x v="0"/>
    <s v="No"/>
    <s v="Y"/>
    <n v="2"/>
    <n v="-2"/>
    <n v="0"/>
    <n v="32"/>
    <n v="0"/>
    <m/>
    <n v="0"/>
    <n v="1"/>
    <n v="1005"/>
    <n v="2"/>
    <x v="0"/>
    <n v="1"/>
    <n v="4"/>
    <n v="79"/>
    <n v="3"/>
    <n v="1"/>
    <n v="2"/>
    <n v="3068"/>
    <n v="11864"/>
    <n v="0"/>
    <n v="13"/>
    <x v="0"/>
    <n v="3"/>
    <n v="80"/>
    <n v="0"/>
    <n v="8"/>
    <n v="2"/>
    <n v="7"/>
    <n v="7"/>
    <n v="3"/>
    <n v="6"/>
  </r>
  <r>
    <s v="No"/>
    <s v="Travel_Rarely"/>
    <x v="3"/>
    <s v="Current Employees"/>
    <x v="1"/>
    <x v="2"/>
    <s v="STAFF-10"/>
    <n v="10"/>
    <x v="0"/>
    <x v="2"/>
    <x v="1"/>
    <s v="Yes"/>
    <s v="Y"/>
    <n v="3"/>
    <n v="-2"/>
    <n v="0"/>
    <n v="59"/>
    <n v="0"/>
    <m/>
    <n v="0"/>
    <n v="1"/>
    <n v="1324"/>
    <n v="3"/>
    <x v="3"/>
    <n v="1"/>
    <n v="3"/>
    <n v="81"/>
    <n v="4"/>
    <n v="1"/>
    <n v="4"/>
    <n v="2670"/>
    <n v="9964"/>
    <n v="4"/>
    <n v="20"/>
    <x v="1"/>
    <n v="1"/>
    <n v="80"/>
    <n v="3"/>
    <n v="12"/>
    <n v="2"/>
    <n v="1"/>
    <n v="0"/>
    <n v="0"/>
    <n v="0"/>
  </r>
  <r>
    <s v="No"/>
    <s v="Travel_Rarely"/>
    <x v="2"/>
    <s v="Current Employees"/>
    <x v="1"/>
    <x v="0"/>
    <s v="STAFF-11"/>
    <n v="11"/>
    <x v="1"/>
    <x v="2"/>
    <x v="2"/>
    <s v="No"/>
    <s v="Y"/>
    <n v="2"/>
    <n v="-2"/>
    <n v="0"/>
    <n v="30"/>
    <n v="0"/>
    <m/>
    <n v="0"/>
    <n v="1"/>
    <n v="1358"/>
    <n v="24"/>
    <x v="1"/>
    <n v="1"/>
    <n v="4"/>
    <n v="67"/>
    <n v="3"/>
    <n v="1"/>
    <n v="2"/>
    <n v="2693"/>
    <n v="13335"/>
    <n v="1"/>
    <n v="22"/>
    <x v="1"/>
    <n v="2"/>
    <n v="80"/>
    <n v="1"/>
    <n v="1"/>
    <n v="3"/>
    <n v="1"/>
    <n v="0"/>
    <n v="0"/>
    <n v="0"/>
  </r>
  <r>
    <s v="No"/>
    <s v="Travel_Frequently"/>
    <x v="0"/>
    <s v="Current Employees"/>
    <x v="1"/>
    <x v="0"/>
    <s v="STAFF-12"/>
    <n v="12"/>
    <x v="1"/>
    <x v="3"/>
    <x v="0"/>
    <s v="No"/>
    <s v="Y"/>
    <n v="2"/>
    <n v="-2"/>
    <n v="0"/>
    <n v="38"/>
    <n v="0"/>
    <m/>
    <n v="0"/>
    <n v="1"/>
    <n v="216"/>
    <n v="23"/>
    <x v="3"/>
    <n v="1"/>
    <n v="4"/>
    <n v="44"/>
    <n v="2"/>
    <n v="3"/>
    <n v="2"/>
    <n v="9526"/>
    <n v="8787"/>
    <n v="0"/>
    <n v="21"/>
    <x v="1"/>
    <n v="2"/>
    <n v="80"/>
    <n v="0"/>
    <n v="10"/>
    <n v="3"/>
    <n v="9"/>
    <n v="7"/>
    <n v="1"/>
    <n v="8"/>
  </r>
  <r>
    <s v="No"/>
    <s v="Travel_Rarely"/>
    <x v="0"/>
    <s v="Current Employees"/>
    <x v="1"/>
    <x v="2"/>
    <s v="STAFF-13"/>
    <n v="13"/>
    <x v="1"/>
    <x v="4"/>
    <x v="1"/>
    <s v="No"/>
    <s v="Y"/>
    <n v="3"/>
    <n v="-2"/>
    <n v="0"/>
    <n v="36"/>
    <n v="0"/>
    <m/>
    <n v="0"/>
    <n v="1"/>
    <n v="1299"/>
    <n v="27"/>
    <x v="3"/>
    <n v="1"/>
    <n v="3"/>
    <n v="94"/>
    <n v="3"/>
    <n v="2"/>
    <n v="3"/>
    <n v="5237"/>
    <n v="16577"/>
    <n v="6"/>
    <n v="13"/>
    <x v="0"/>
    <n v="2"/>
    <n v="80"/>
    <n v="2"/>
    <n v="17"/>
    <n v="2"/>
    <n v="7"/>
    <n v="7"/>
    <n v="7"/>
    <n v="7"/>
  </r>
  <r>
    <s v="No"/>
    <s v="Travel_Rarely"/>
    <x v="0"/>
    <s v="Current Employees"/>
    <x v="1"/>
    <x v="2"/>
    <s v="STAFF-14"/>
    <n v="14"/>
    <x v="1"/>
    <x v="2"/>
    <x v="1"/>
    <s v="No"/>
    <s v="Y"/>
    <n v="5"/>
    <n v="-2"/>
    <n v="0"/>
    <n v="35"/>
    <n v="0"/>
    <m/>
    <n v="0"/>
    <n v="1"/>
    <n v="809"/>
    <n v="16"/>
    <x v="3"/>
    <n v="1"/>
    <n v="1"/>
    <n v="84"/>
    <n v="4"/>
    <n v="1"/>
    <n v="2"/>
    <n v="2426"/>
    <n v="16479"/>
    <n v="0"/>
    <n v="13"/>
    <x v="0"/>
    <n v="3"/>
    <n v="80"/>
    <n v="1"/>
    <n v="6"/>
    <n v="3"/>
    <n v="5"/>
    <n v="4"/>
    <n v="0"/>
    <n v="3"/>
  </r>
  <r>
    <s v="No"/>
    <s v="Travel_Rarely"/>
    <x v="2"/>
    <s v="Current Employees"/>
    <x v="1"/>
    <x v="0"/>
    <s v="STAFF-15"/>
    <n v="15"/>
    <x v="0"/>
    <x v="2"/>
    <x v="0"/>
    <s v="Yes"/>
    <s v="Y"/>
    <n v="3"/>
    <n v="-2"/>
    <n v="0"/>
    <n v="29"/>
    <n v="0"/>
    <m/>
    <n v="0"/>
    <n v="1"/>
    <n v="153"/>
    <n v="15"/>
    <x v="0"/>
    <n v="1"/>
    <n v="4"/>
    <n v="49"/>
    <n v="2"/>
    <n v="2"/>
    <n v="2"/>
    <n v="4193"/>
    <n v="12682"/>
    <n v="0"/>
    <n v="12"/>
    <x v="0"/>
    <n v="4"/>
    <n v="80"/>
    <n v="0"/>
    <n v="10"/>
    <n v="3"/>
    <n v="9"/>
    <n v="5"/>
    <n v="0"/>
    <n v="8"/>
  </r>
  <r>
    <s v="No"/>
    <s v="Travel_Rarely"/>
    <x v="2"/>
    <s v="Current Employees"/>
    <x v="1"/>
    <x v="0"/>
    <s v="STAFF-16"/>
    <n v="16"/>
    <x v="1"/>
    <x v="1"/>
    <x v="2"/>
    <s v="No"/>
    <s v="Y"/>
    <n v="1"/>
    <n v="-2"/>
    <n v="0"/>
    <n v="31"/>
    <n v="0"/>
    <m/>
    <n v="0"/>
    <n v="1"/>
    <n v="670"/>
    <n v="26"/>
    <x v="1"/>
    <n v="1"/>
    <n v="1"/>
    <n v="31"/>
    <n v="3"/>
    <n v="1"/>
    <n v="2"/>
    <n v="2911"/>
    <n v="15170"/>
    <n v="1"/>
    <n v="17"/>
    <x v="0"/>
    <n v="4"/>
    <n v="80"/>
    <n v="1"/>
    <n v="5"/>
    <n v="2"/>
    <n v="5"/>
    <n v="2"/>
    <n v="4"/>
    <n v="3"/>
  </r>
  <r>
    <s v="No"/>
    <s v="Travel_Rarely"/>
    <x v="2"/>
    <s v="Current Employees"/>
    <x v="1"/>
    <x v="2"/>
    <s v="STAFF-18"/>
    <n v="18"/>
    <x v="1"/>
    <x v="2"/>
    <x v="2"/>
    <s v="No"/>
    <s v="Y"/>
    <n v="2"/>
    <n v="-2"/>
    <n v="0"/>
    <n v="34"/>
    <n v="0"/>
    <m/>
    <n v="0"/>
    <n v="1"/>
    <n v="1346"/>
    <n v="19"/>
    <x v="0"/>
    <n v="1"/>
    <n v="2"/>
    <n v="93"/>
    <n v="3"/>
    <n v="1"/>
    <n v="4"/>
    <n v="2661"/>
    <n v="8758"/>
    <n v="0"/>
    <n v="11"/>
    <x v="0"/>
    <n v="3"/>
    <n v="80"/>
    <n v="1"/>
    <n v="3"/>
    <n v="3"/>
    <n v="2"/>
    <n v="2"/>
    <n v="1"/>
    <n v="2"/>
  </r>
  <r>
    <s v="Yes"/>
    <s v="Travel_Rarely"/>
    <x v="2"/>
    <s v="Ex-Employees"/>
    <x v="1"/>
    <x v="0"/>
    <s v="STAFF-19"/>
    <n v="19"/>
    <x v="1"/>
    <x v="2"/>
    <x v="0"/>
    <s v="Yes"/>
    <s v="Y"/>
    <n v="4"/>
    <n v="-2"/>
    <n v="0"/>
    <n v="28"/>
    <n v="1"/>
    <n v="1"/>
    <n v="1"/>
    <n v="0"/>
    <n v="103"/>
    <n v="24"/>
    <x v="3"/>
    <n v="1"/>
    <n v="3"/>
    <n v="50"/>
    <n v="2"/>
    <n v="1"/>
    <n v="2"/>
    <n v="2028"/>
    <n v="12947"/>
    <n v="5"/>
    <n v="14"/>
    <x v="0"/>
    <n v="2"/>
    <n v="80"/>
    <n v="0"/>
    <n v="6"/>
    <n v="3"/>
    <n v="4"/>
    <n v="2"/>
    <n v="0"/>
    <n v="3"/>
  </r>
  <r>
    <s v="No"/>
    <s v="Travel_Rarely"/>
    <x v="2"/>
    <s v="Current Employees"/>
    <x v="1"/>
    <x v="0"/>
    <s v="STAFF-20"/>
    <n v="20"/>
    <x v="0"/>
    <x v="3"/>
    <x v="2"/>
    <s v="No"/>
    <s v="Y"/>
    <n v="1"/>
    <n v="-2"/>
    <n v="0"/>
    <n v="29"/>
    <n v="0"/>
    <m/>
    <n v="0"/>
    <n v="1"/>
    <n v="1389"/>
    <n v="21"/>
    <x v="2"/>
    <n v="1"/>
    <n v="2"/>
    <n v="51"/>
    <n v="4"/>
    <n v="3"/>
    <n v="2"/>
    <n v="9980"/>
    <n v="10195"/>
    <n v="1"/>
    <n v="11"/>
    <x v="0"/>
    <n v="3"/>
    <n v="80"/>
    <n v="1"/>
    <n v="10"/>
    <n v="3"/>
    <n v="10"/>
    <n v="9"/>
    <n v="8"/>
    <n v="8"/>
  </r>
  <r>
    <s v="No"/>
    <s v="Travel_Rarely"/>
    <x v="2"/>
    <s v="Current Employees"/>
    <x v="1"/>
    <x v="0"/>
    <s v="STAFF-21"/>
    <n v="21"/>
    <x v="1"/>
    <x v="1"/>
    <x v="2"/>
    <s v="Yes"/>
    <s v="Y"/>
    <n v="5"/>
    <n v="-2"/>
    <n v="0"/>
    <n v="32"/>
    <n v="0"/>
    <m/>
    <n v="0"/>
    <n v="1"/>
    <n v="334"/>
    <n v="5"/>
    <x v="0"/>
    <n v="1"/>
    <n v="1"/>
    <n v="80"/>
    <n v="4"/>
    <n v="1"/>
    <n v="2"/>
    <n v="3298"/>
    <n v="15053"/>
    <n v="0"/>
    <n v="12"/>
    <x v="0"/>
    <n v="4"/>
    <n v="80"/>
    <n v="2"/>
    <n v="7"/>
    <n v="2"/>
    <n v="6"/>
    <n v="2"/>
    <n v="0"/>
    <n v="5"/>
  </r>
  <r>
    <s v="No"/>
    <s v="Non-Travel"/>
    <x v="4"/>
    <s v="Current Employees"/>
    <x v="1"/>
    <x v="2"/>
    <s v="STAFF-22"/>
    <n v="22"/>
    <x v="1"/>
    <x v="2"/>
    <x v="2"/>
    <s v="Yes"/>
    <s v="Y"/>
    <n v="2"/>
    <n v="-2"/>
    <n v="0"/>
    <n v="22"/>
    <n v="0"/>
    <m/>
    <n v="0"/>
    <n v="1"/>
    <n v="1123"/>
    <n v="16"/>
    <x v="0"/>
    <n v="1"/>
    <n v="4"/>
    <n v="96"/>
    <n v="4"/>
    <n v="1"/>
    <n v="4"/>
    <n v="2935"/>
    <n v="7324"/>
    <n v="1"/>
    <n v="13"/>
    <x v="0"/>
    <n v="2"/>
    <n v="80"/>
    <n v="2"/>
    <n v="1"/>
    <n v="2"/>
    <n v="1"/>
    <n v="0"/>
    <n v="0"/>
    <n v="0"/>
  </r>
  <r>
    <s v="No"/>
    <s v="Travel_Rarely"/>
    <x v="1"/>
    <s v="Current Employees"/>
    <x v="0"/>
    <x v="0"/>
    <s v="STAFF-23"/>
    <n v="23"/>
    <x v="0"/>
    <x v="5"/>
    <x v="1"/>
    <s v="No"/>
    <s v="Y"/>
    <n v="3"/>
    <n v="-2"/>
    <n v="0"/>
    <n v="53"/>
    <n v="0"/>
    <m/>
    <n v="0"/>
    <n v="1"/>
    <n v="1219"/>
    <n v="2"/>
    <x v="2"/>
    <n v="1"/>
    <n v="1"/>
    <n v="78"/>
    <n v="2"/>
    <n v="4"/>
    <n v="2"/>
    <n v="15427"/>
    <n v="22021"/>
    <n v="2"/>
    <n v="16"/>
    <x v="0"/>
    <n v="3"/>
    <n v="80"/>
    <n v="0"/>
    <n v="31"/>
    <n v="3"/>
    <n v="25"/>
    <n v="8"/>
    <n v="3"/>
    <n v="7"/>
  </r>
  <r>
    <s v="No"/>
    <s v="Travel_Rarely"/>
    <x v="0"/>
    <s v="Current Employees"/>
    <x v="1"/>
    <x v="0"/>
    <s v="STAFF-24"/>
    <n v="24"/>
    <x v="1"/>
    <x v="1"/>
    <x v="0"/>
    <s v="Yes"/>
    <s v="Y"/>
    <n v="3"/>
    <n v="-2"/>
    <n v="0"/>
    <n v="38"/>
    <n v="0"/>
    <m/>
    <n v="0"/>
    <n v="1"/>
    <n v="371"/>
    <n v="2"/>
    <x v="3"/>
    <n v="1"/>
    <n v="4"/>
    <n v="45"/>
    <n v="3"/>
    <n v="1"/>
    <n v="2"/>
    <n v="3944"/>
    <n v="4306"/>
    <n v="5"/>
    <n v="11"/>
    <x v="0"/>
    <n v="3"/>
    <n v="80"/>
    <n v="0"/>
    <n v="6"/>
    <n v="3"/>
    <n v="3"/>
    <n v="2"/>
    <n v="1"/>
    <n v="2"/>
  </r>
  <r>
    <s v="No"/>
    <s v="Non-Travel"/>
    <x v="4"/>
    <s v="Current Employees"/>
    <x v="1"/>
    <x v="1"/>
    <s v="STAFF-26"/>
    <n v="26"/>
    <x v="0"/>
    <x v="3"/>
    <x v="2"/>
    <s v="No"/>
    <s v="Y"/>
    <n v="5"/>
    <n v="-2"/>
    <n v="0"/>
    <n v="24"/>
    <n v="0"/>
    <m/>
    <n v="0"/>
    <n v="1"/>
    <n v="673"/>
    <n v="11"/>
    <x v="0"/>
    <n v="1"/>
    <n v="1"/>
    <n v="96"/>
    <n v="4"/>
    <n v="2"/>
    <n v="3"/>
    <n v="4011"/>
    <n v="8232"/>
    <n v="0"/>
    <n v="18"/>
    <x v="0"/>
    <n v="4"/>
    <n v="80"/>
    <n v="1"/>
    <n v="5"/>
    <n v="2"/>
    <n v="4"/>
    <n v="2"/>
    <n v="1"/>
    <n v="3"/>
  </r>
  <r>
    <s v="Yes"/>
    <s v="Travel_Rarely"/>
    <x v="0"/>
    <s v="Ex-Employees"/>
    <x v="0"/>
    <x v="0"/>
    <s v="STAFF-27"/>
    <n v="27"/>
    <x v="1"/>
    <x v="6"/>
    <x v="0"/>
    <s v="No"/>
    <s v="Y"/>
    <n v="4"/>
    <n v="-2"/>
    <n v="0"/>
    <n v="36"/>
    <n v="1"/>
    <n v="1"/>
    <n v="1"/>
    <n v="0"/>
    <n v="1218"/>
    <n v="9"/>
    <x v="2"/>
    <n v="1"/>
    <n v="3"/>
    <n v="82"/>
    <n v="2"/>
    <n v="1"/>
    <n v="2"/>
    <n v="3407"/>
    <n v="6986"/>
    <n v="7"/>
    <n v="23"/>
    <x v="1"/>
    <n v="2"/>
    <n v="80"/>
    <n v="0"/>
    <n v="10"/>
    <n v="3"/>
    <n v="5"/>
    <n v="3"/>
    <n v="0"/>
    <n v="3"/>
  </r>
  <r>
    <s v="No"/>
    <s v="Travel_Rarely"/>
    <x v="2"/>
    <s v="Current Employees"/>
    <x v="1"/>
    <x v="0"/>
    <s v="STAFF-28"/>
    <n v="28"/>
    <x v="0"/>
    <x v="7"/>
    <x v="0"/>
    <s v="No"/>
    <s v="Y"/>
    <n v="4"/>
    <n v="-2"/>
    <n v="0"/>
    <n v="34"/>
    <n v="0"/>
    <m/>
    <n v="0"/>
    <n v="1"/>
    <n v="419"/>
    <n v="7"/>
    <x v="2"/>
    <n v="1"/>
    <n v="1"/>
    <n v="53"/>
    <n v="3"/>
    <n v="3"/>
    <n v="2"/>
    <n v="11994"/>
    <n v="21293"/>
    <n v="0"/>
    <n v="11"/>
    <x v="0"/>
    <n v="3"/>
    <n v="80"/>
    <n v="0"/>
    <n v="13"/>
    <n v="3"/>
    <n v="12"/>
    <n v="6"/>
    <n v="2"/>
    <n v="11"/>
  </r>
  <r>
    <s v="No"/>
    <s v="Travel_Rarely"/>
    <x v="4"/>
    <s v="Current Employees"/>
    <x v="1"/>
    <x v="0"/>
    <s v="STAFF-30"/>
    <n v="30"/>
    <x v="1"/>
    <x v="1"/>
    <x v="0"/>
    <s v="No"/>
    <s v="Y"/>
    <n v="6"/>
    <n v="-2"/>
    <n v="0"/>
    <n v="21"/>
    <n v="0"/>
    <m/>
    <n v="0"/>
    <n v="1"/>
    <n v="391"/>
    <n v="15"/>
    <x v="0"/>
    <n v="1"/>
    <n v="3"/>
    <n v="96"/>
    <n v="3"/>
    <n v="1"/>
    <n v="2"/>
    <n v="1232"/>
    <n v="19281"/>
    <n v="1"/>
    <n v="14"/>
    <x v="0"/>
    <n v="4"/>
    <n v="80"/>
    <n v="0"/>
    <n v="0"/>
    <n v="3"/>
    <n v="0"/>
    <n v="0"/>
    <n v="0"/>
    <n v="0"/>
  </r>
  <r>
    <s v="Yes"/>
    <s v="Travel_Rarely"/>
    <x v="2"/>
    <s v="Ex-Employees"/>
    <x v="1"/>
    <x v="2"/>
    <s v="STAFF-31"/>
    <n v="31"/>
    <x v="1"/>
    <x v="1"/>
    <x v="0"/>
    <s v="No"/>
    <s v="Y"/>
    <n v="2"/>
    <n v="-2"/>
    <n v="0"/>
    <n v="34"/>
    <n v="1"/>
    <n v="1"/>
    <n v="1"/>
    <n v="0"/>
    <n v="699"/>
    <n v="6"/>
    <x v="1"/>
    <n v="1"/>
    <n v="2"/>
    <n v="83"/>
    <n v="3"/>
    <n v="1"/>
    <n v="4"/>
    <n v="2960"/>
    <n v="17102"/>
    <n v="2"/>
    <n v="11"/>
    <x v="0"/>
    <n v="3"/>
    <n v="80"/>
    <n v="0"/>
    <n v="8"/>
    <n v="3"/>
    <n v="4"/>
    <n v="2"/>
    <n v="1"/>
    <n v="3"/>
  </r>
  <r>
    <s v="No"/>
    <s v="Travel_Rarely"/>
    <x v="1"/>
    <s v="Current Employees"/>
    <x v="1"/>
    <x v="1"/>
    <s v="STAFF-32"/>
    <n v="32"/>
    <x v="0"/>
    <x v="5"/>
    <x v="2"/>
    <s v="No"/>
    <s v="Y"/>
    <n v="3"/>
    <n v="-2"/>
    <n v="0"/>
    <n v="53"/>
    <n v="0"/>
    <m/>
    <n v="0"/>
    <n v="1"/>
    <n v="1282"/>
    <n v="5"/>
    <x v="3"/>
    <n v="1"/>
    <n v="3"/>
    <n v="58"/>
    <n v="3"/>
    <n v="5"/>
    <n v="3"/>
    <n v="19094"/>
    <n v="10735"/>
    <n v="4"/>
    <n v="11"/>
    <x v="0"/>
    <n v="4"/>
    <n v="80"/>
    <n v="1"/>
    <n v="26"/>
    <n v="2"/>
    <n v="14"/>
    <n v="13"/>
    <n v="4"/>
    <n v="8"/>
  </r>
  <r>
    <s v="Yes"/>
    <s v="Travel_Frequently"/>
    <x v="2"/>
    <s v="Ex-Employees"/>
    <x v="1"/>
    <x v="0"/>
    <s v="STAFF-33"/>
    <n v="33"/>
    <x v="0"/>
    <x v="1"/>
    <x v="0"/>
    <s v="Yes"/>
    <s v="Y"/>
    <n v="5"/>
    <n v="-2"/>
    <n v="0"/>
    <n v="32"/>
    <n v="1"/>
    <n v="1"/>
    <n v="1"/>
    <n v="0"/>
    <n v="1125"/>
    <n v="16"/>
    <x v="1"/>
    <n v="1"/>
    <n v="2"/>
    <n v="72"/>
    <n v="1"/>
    <n v="1"/>
    <n v="2"/>
    <n v="3919"/>
    <n v="4681"/>
    <n v="1"/>
    <n v="22"/>
    <x v="1"/>
    <n v="2"/>
    <n v="80"/>
    <n v="0"/>
    <n v="10"/>
    <n v="3"/>
    <n v="10"/>
    <n v="2"/>
    <n v="6"/>
    <n v="7"/>
  </r>
  <r>
    <s v="No"/>
    <s v="Travel_Rarely"/>
    <x v="0"/>
    <s v="Current Employees"/>
    <x v="0"/>
    <x v="3"/>
    <s v="STAFF-35"/>
    <n v="35"/>
    <x v="1"/>
    <x v="0"/>
    <x v="1"/>
    <s v="No"/>
    <s v="Y"/>
    <n v="2"/>
    <n v="-2"/>
    <n v="0"/>
    <n v="42"/>
    <n v="0"/>
    <m/>
    <n v="0"/>
    <n v="1"/>
    <n v="691"/>
    <n v="8"/>
    <x v="2"/>
    <n v="1"/>
    <n v="3"/>
    <n v="48"/>
    <n v="3"/>
    <n v="2"/>
    <n v="3"/>
    <n v="6825"/>
    <n v="21173"/>
    <n v="0"/>
    <n v="11"/>
    <x v="0"/>
    <n v="4"/>
    <n v="80"/>
    <n v="1"/>
    <n v="10"/>
    <n v="3"/>
    <n v="9"/>
    <n v="7"/>
    <n v="4"/>
    <n v="2"/>
  </r>
  <r>
    <s v="No"/>
    <s v="Travel_Rarely"/>
    <x v="0"/>
    <s v="Current Employees"/>
    <x v="1"/>
    <x v="2"/>
    <s v="STAFF-36"/>
    <n v="36"/>
    <x v="0"/>
    <x v="4"/>
    <x v="1"/>
    <s v="No"/>
    <s v="Y"/>
    <n v="4"/>
    <n v="-2"/>
    <n v="0"/>
    <n v="44"/>
    <n v="0"/>
    <m/>
    <n v="0"/>
    <n v="1"/>
    <n v="477"/>
    <n v="7"/>
    <x v="2"/>
    <n v="1"/>
    <n v="1"/>
    <n v="42"/>
    <n v="2"/>
    <n v="3"/>
    <n v="4"/>
    <n v="10248"/>
    <n v="2094"/>
    <n v="3"/>
    <n v="14"/>
    <x v="0"/>
    <n v="4"/>
    <n v="80"/>
    <n v="1"/>
    <n v="24"/>
    <n v="3"/>
    <n v="22"/>
    <n v="6"/>
    <n v="5"/>
    <n v="17"/>
  </r>
  <r>
    <s v="No"/>
    <s v="Travel_Rarely"/>
    <x v="1"/>
    <s v="Current Employees"/>
    <x v="0"/>
    <x v="3"/>
    <s v="STAFF-38"/>
    <n v="38"/>
    <x v="0"/>
    <x v="5"/>
    <x v="0"/>
    <s v="No"/>
    <s v="Y"/>
    <n v="2"/>
    <n v="-2"/>
    <n v="0"/>
    <n v="46"/>
    <n v="0"/>
    <m/>
    <n v="0"/>
    <n v="1"/>
    <n v="705"/>
    <n v="2"/>
    <x v="2"/>
    <n v="1"/>
    <n v="2"/>
    <n v="83"/>
    <n v="3"/>
    <n v="5"/>
    <n v="4"/>
    <n v="18947"/>
    <n v="22822"/>
    <n v="3"/>
    <n v="12"/>
    <x v="0"/>
    <n v="4"/>
    <n v="80"/>
    <n v="0"/>
    <n v="22"/>
    <n v="2"/>
    <n v="2"/>
    <n v="2"/>
    <n v="2"/>
    <n v="1"/>
  </r>
  <r>
    <s v="No"/>
    <s v="Travel_Rarely"/>
    <x v="2"/>
    <s v="Current Employees"/>
    <x v="1"/>
    <x v="2"/>
    <s v="STAFF-39"/>
    <n v="39"/>
    <x v="1"/>
    <x v="2"/>
    <x v="0"/>
    <s v="No"/>
    <s v="Y"/>
    <n v="3"/>
    <n v="-2"/>
    <n v="0"/>
    <n v="33"/>
    <n v="0"/>
    <m/>
    <n v="0"/>
    <n v="1"/>
    <n v="924"/>
    <n v="2"/>
    <x v="3"/>
    <n v="1"/>
    <n v="3"/>
    <n v="78"/>
    <n v="3"/>
    <n v="1"/>
    <n v="4"/>
    <n v="2496"/>
    <n v="6670"/>
    <n v="4"/>
    <n v="11"/>
    <x v="0"/>
    <n v="4"/>
    <n v="80"/>
    <n v="0"/>
    <n v="7"/>
    <n v="3"/>
    <n v="1"/>
    <n v="1"/>
    <n v="0"/>
    <n v="0"/>
  </r>
  <r>
    <s v="No"/>
    <s v="Travel_Rarely"/>
    <x v="0"/>
    <s v="Current Employees"/>
    <x v="1"/>
    <x v="1"/>
    <s v="STAFF-40"/>
    <n v="40"/>
    <x v="1"/>
    <x v="4"/>
    <x v="1"/>
    <s v="Yes"/>
    <s v="Y"/>
    <n v="5"/>
    <n v="-2"/>
    <n v="0"/>
    <n v="44"/>
    <n v="0"/>
    <m/>
    <n v="0"/>
    <n v="1"/>
    <n v="1459"/>
    <n v="10"/>
    <x v="2"/>
    <n v="1"/>
    <n v="4"/>
    <n v="41"/>
    <n v="3"/>
    <n v="2"/>
    <n v="4"/>
    <n v="6465"/>
    <n v="19121"/>
    <n v="2"/>
    <n v="13"/>
    <x v="0"/>
    <n v="4"/>
    <n v="80"/>
    <n v="0"/>
    <n v="9"/>
    <n v="4"/>
    <n v="4"/>
    <n v="2"/>
    <n v="1"/>
    <n v="3"/>
  </r>
  <r>
    <s v="No"/>
    <s v="Travel_Rarely"/>
    <x v="2"/>
    <s v="Current Employees"/>
    <x v="1"/>
    <x v="2"/>
    <s v="STAFF-41"/>
    <n v="41"/>
    <x v="1"/>
    <x v="2"/>
    <x v="0"/>
    <s v="No"/>
    <s v="Y"/>
    <n v="5"/>
    <n v="-2"/>
    <n v="0"/>
    <n v="30"/>
    <n v="0"/>
    <m/>
    <n v="0"/>
    <n v="1"/>
    <n v="125"/>
    <n v="9"/>
    <x v="0"/>
    <n v="1"/>
    <n v="4"/>
    <n v="83"/>
    <n v="2"/>
    <n v="1"/>
    <n v="3"/>
    <n v="2206"/>
    <n v="16117"/>
    <n v="1"/>
    <n v="13"/>
    <x v="0"/>
    <n v="1"/>
    <n v="80"/>
    <n v="0"/>
    <n v="10"/>
    <n v="3"/>
    <n v="10"/>
    <n v="0"/>
    <n v="1"/>
    <n v="8"/>
  </r>
  <r>
    <s v="Yes"/>
    <s v="Travel_Rarely"/>
    <x v="0"/>
    <s v="Ex-Employees"/>
    <x v="0"/>
    <x v="4"/>
    <s v="STAFF-42"/>
    <n v="42"/>
    <x v="1"/>
    <x v="6"/>
    <x v="1"/>
    <s v="No"/>
    <s v="Y"/>
    <n v="6"/>
    <n v="-2"/>
    <n v="0"/>
    <n v="39"/>
    <n v="1"/>
    <n v="1"/>
    <n v="1"/>
    <n v="0"/>
    <n v="895"/>
    <n v="5"/>
    <x v="3"/>
    <n v="1"/>
    <n v="4"/>
    <n v="56"/>
    <n v="3"/>
    <n v="2"/>
    <n v="4"/>
    <n v="2086"/>
    <n v="3335"/>
    <n v="3"/>
    <n v="14"/>
    <x v="0"/>
    <n v="3"/>
    <n v="80"/>
    <n v="1"/>
    <n v="19"/>
    <n v="4"/>
    <n v="1"/>
    <n v="0"/>
    <n v="0"/>
    <n v="0"/>
  </r>
  <r>
    <s v="Yes"/>
    <s v="Travel_Rarely"/>
    <x v="4"/>
    <s v="Ex-Employees"/>
    <x v="1"/>
    <x v="2"/>
    <s v="STAFF-45"/>
    <n v="45"/>
    <x v="1"/>
    <x v="1"/>
    <x v="1"/>
    <s v="Yes"/>
    <s v="Y"/>
    <n v="2"/>
    <n v="-2"/>
    <n v="0"/>
    <n v="24"/>
    <n v="1"/>
    <n v="1"/>
    <n v="1"/>
    <n v="0"/>
    <n v="813"/>
    <n v="1"/>
    <x v="3"/>
    <n v="1"/>
    <n v="2"/>
    <n v="61"/>
    <n v="3"/>
    <n v="1"/>
    <n v="4"/>
    <n v="2293"/>
    <n v="3020"/>
    <n v="2"/>
    <n v="16"/>
    <x v="0"/>
    <n v="1"/>
    <n v="80"/>
    <n v="1"/>
    <n v="6"/>
    <n v="2"/>
    <n v="2"/>
    <n v="0"/>
    <n v="2"/>
    <n v="0"/>
  </r>
  <r>
    <s v="No"/>
    <s v="Travel_Rarely"/>
    <x v="0"/>
    <s v="Current Employees"/>
    <x v="1"/>
    <x v="2"/>
    <s v="STAFF-46"/>
    <n v="46"/>
    <x v="0"/>
    <x v="1"/>
    <x v="2"/>
    <s v="No"/>
    <s v="Y"/>
    <n v="3"/>
    <n v="-2"/>
    <n v="0"/>
    <n v="43"/>
    <n v="0"/>
    <m/>
    <n v="0"/>
    <n v="1"/>
    <n v="1273"/>
    <n v="2"/>
    <x v="0"/>
    <n v="1"/>
    <n v="4"/>
    <n v="72"/>
    <n v="4"/>
    <n v="1"/>
    <n v="3"/>
    <n v="2645"/>
    <n v="21923"/>
    <n v="1"/>
    <n v="12"/>
    <x v="0"/>
    <n v="4"/>
    <n v="80"/>
    <n v="2"/>
    <n v="6"/>
    <n v="2"/>
    <n v="5"/>
    <n v="3"/>
    <n v="1"/>
    <n v="4"/>
  </r>
  <r>
    <s v="Yes"/>
    <s v="Travel_Rarely"/>
    <x v="1"/>
    <s v="Ex-Employees"/>
    <x v="0"/>
    <x v="3"/>
    <s v="STAFF-47"/>
    <n v="47"/>
    <x v="1"/>
    <x v="6"/>
    <x v="1"/>
    <s v="Yes"/>
    <s v="Y"/>
    <n v="2"/>
    <n v="-2"/>
    <n v="0"/>
    <n v="50"/>
    <n v="1"/>
    <n v="1"/>
    <n v="1"/>
    <n v="0"/>
    <n v="869"/>
    <n v="3"/>
    <x v="0"/>
    <n v="1"/>
    <n v="1"/>
    <n v="86"/>
    <n v="2"/>
    <n v="1"/>
    <n v="3"/>
    <n v="2683"/>
    <n v="3810"/>
    <n v="1"/>
    <n v="14"/>
    <x v="0"/>
    <n v="3"/>
    <n v="80"/>
    <n v="0"/>
    <n v="3"/>
    <n v="3"/>
    <n v="3"/>
    <n v="2"/>
    <n v="0"/>
    <n v="2"/>
  </r>
  <r>
    <s v="No"/>
    <s v="Travel_Rarely"/>
    <x v="0"/>
    <s v="Current Employees"/>
    <x v="0"/>
    <x v="3"/>
    <s v="STAFF-49"/>
    <n v="49"/>
    <x v="0"/>
    <x v="6"/>
    <x v="1"/>
    <s v="No"/>
    <s v="Y"/>
    <n v="3"/>
    <n v="-2"/>
    <n v="0"/>
    <n v="35"/>
    <n v="0"/>
    <m/>
    <n v="0"/>
    <n v="1"/>
    <n v="890"/>
    <n v="2"/>
    <x v="3"/>
    <n v="1"/>
    <n v="4"/>
    <n v="97"/>
    <n v="3"/>
    <n v="1"/>
    <n v="4"/>
    <n v="2014"/>
    <n v="9687"/>
    <n v="1"/>
    <n v="13"/>
    <x v="0"/>
    <n v="1"/>
    <n v="80"/>
    <n v="0"/>
    <n v="2"/>
    <n v="3"/>
    <n v="2"/>
    <n v="2"/>
    <n v="2"/>
    <n v="2"/>
  </r>
  <r>
    <s v="No"/>
    <s v="Travel_Rarely"/>
    <x v="0"/>
    <s v="Current Employees"/>
    <x v="1"/>
    <x v="0"/>
    <s v="STAFF-51"/>
    <n v="51"/>
    <x v="0"/>
    <x v="1"/>
    <x v="1"/>
    <s v="Yes"/>
    <s v="Y"/>
    <n v="3"/>
    <n v="-2"/>
    <n v="0"/>
    <n v="36"/>
    <n v="0"/>
    <m/>
    <n v="0"/>
    <n v="1"/>
    <n v="852"/>
    <n v="5"/>
    <x v="2"/>
    <n v="1"/>
    <n v="2"/>
    <n v="82"/>
    <n v="2"/>
    <n v="1"/>
    <n v="2"/>
    <n v="3419"/>
    <n v="13072"/>
    <n v="9"/>
    <n v="14"/>
    <x v="0"/>
    <n v="4"/>
    <n v="80"/>
    <n v="1"/>
    <n v="6"/>
    <n v="4"/>
    <n v="1"/>
    <n v="1"/>
    <n v="0"/>
    <n v="0"/>
  </r>
  <r>
    <s v="No"/>
    <s v="Travel_Frequently"/>
    <x v="2"/>
    <s v="Current Employees"/>
    <x v="0"/>
    <x v="0"/>
    <s v="STAFF-52"/>
    <n v="52"/>
    <x v="0"/>
    <x v="0"/>
    <x v="1"/>
    <s v="No"/>
    <s v="Y"/>
    <n v="3"/>
    <n v="-2"/>
    <n v="0"/>
    <n v="33"/>
    <n v="0"/>
    <m/>
    <n v="0"/>
    <n v="1"/>
    <n v="1141"/>
    <n v="1"/>
    <x v="3"/>
    <n v="1"/>
    <n v="3"/>
    <n v="42"/>
    <n v="4"/>
    <n v="2"/>
    <n v="2"/>
    <n v="5376"/>
    <n v="3193"/>
    <n v="2"/>
    <n v="19"/>
    <x v="0"/>
    <n v="1"/>
    <n v="80"/>
    <n v="2"/>
    <n v="10"/>
    <n v="3"/>
    <n v="5"/>
    <n v="3"/>
    <n v="1"/>
    <n v="3"/>
  </r>
  <r>
    <s v="No"/>
    <s v="Travel_Rarely"/>
    <x v="0"/>
    <s v="Current Employees"/>
    <x v="1"/>
    <x v="1"/>
    <s v="STAFF-53"/>
    <n v="53"/>
    <x v="1"/>
    <x v="2"/>
    <x v="2"/>
    <s v="No"/>
    <s v="Y"/>
    <n v="3"/>
    <n v="-2"/>
    <n v="0"/>
    <n v="35"/>
    <n v="0"/>
    <m/>
    <n v="0"/>
    <n v="1"/>
    <n v="464"/>
    <n v="4"/>
    <x v="0"/>
    <n v="1"/>
    <n v="3"/>
    <n v="75"/>
    <n v="3"/>
    <n v="1"/>
    <n v="4"/>
    <n v="1951"/>
    <n v="10910"/>
    <n v="1"/>
    <n v="12"/>
    <x v="0"/>
    <n v="3"/>
    <n v="80"/>
    <n v="1"/>
    <n v="1"/>
    <n v="3"/>
    <n v="1"/>
    <n v="0"/>
    <n v="0"/>
    <n v="0"/>
  </r>
  <r>
    <s v="No"/>
    <s v="Travel_Rarely"/>
    <x v="2"/>
    <s v="Current Employees"/>
    <x v="1"/>
    <x v="0"/>
    <s v="STAFF-54"/>
    <n v="54"/>
    <x v="0"/>
    <x v="2"/>
    <x v="2"/>
    <s v="No"/>
    <s v="Y"/>
    <n v="6"/>
    <n v="-2"/>
    <n v="0"/>
    <n v="27"/>
    <n v="0"/>
    <m/>
    <n v="0"/>
    <n v="1"/>
    <n v="1240"/>
    <n v="2"/>
    <x v="2"/>
    <n v="1"/>
    <n v="4"/>
    <n v="33"/>
    <n v="3"/>
    <n v="1"/>
    <n v="2"/>
    <n v="2341"/>
    <n v="19715"/>
    <n v="1"/>
    <n v="13"/>
    <x v="0"/>
    <n v="4"/>
    <n v="80"/>
    <n v="1"/>
    <n v="1"/>
    <n v="3"/>
    <n v="1"/>
    <n v="0"/>
    <n v="0"/>
    <n v="0"/>
  </r>
  <r>
    <s v="Yes"/>
    <s v="Travel_Rarely"/>
    <x v="2"/>
    <s v="Ex-Employees"/>
    <x v="1"/>
    <x v="0"/>
    <s v="STAFF-55"/>
    <n v="55"/>
    <x v="1"/>
    <x v="2"/>
    <x v="0"/>
    <s v="No"/>
    <s v="Y"/>
    <n v="2"/>
    <n v="-2"/>
    <n v="0"/>
    <n v="26"/>
    <n v="1"/>
    <n v="1"/>
    <n v="1"/>
    <n v="0"/>
    <n v="1357"/>
    <n v="25"/>
    <x v="3"/>
    <n v="1"/>
    <n v="1"/>
    <n v="48"/>
    <n v="1"/>
    <n v="1"/>
    <n v="2"/>
    <n v="2293"/>
    <n v="10558"/>
    <n v="1"/>
    <n v="12"/>
    <x v="0"/>
    <n v="3"/>
    <n v="80"/>
    <n v="0"/>
    <n v="1"/>
    <n v="2"/>
    <n v="1"/>
    <n v="0"/>
    <n v="0"/>
    <n v="1"/>
  </r>
  <r>
    <s v="No"/>
    <s v="Travel_Frequently"/>
    <x v="2"/>
    <s v="Current Employees"/>
    <x v="0"/>
    <x v="0"/>
    <s v="STAFF-56"/>
    <n v="56"/>
    <x v="1"/>
    <x v="0"/>
    <x v="0"/>
    <s v="No"/>
    <s v="Y"/>
    <n v="0"/>
    <n v="-2"/>
    <n v="0"/>
    <n v="27"/>
    <n v="0"/>
    <m/>
    <n v="0"/>
    <n v="1"/>
    <n v="994"/>
    <n v="8"/>
    <x v="3"/>
    <n v="1"/>
    <n v="4"/>
    <n v="37"/>
    <n v="3"/>
    <n v="3"/>
    <n v="2"/>
    <n v="8726"/>
    <n v="2975"/>
    <n v="1"/>
    <n v="15"/>
    <x v="0"/>
    <n v="4"/>
    <n v="80"/>
    <n v="0"/>
    <n v="9"/>
    <n v="3"/>
    <n v="9"/>
    <n v="8"/>
    <n v="1"/>
    <n v="7"/>
  </r>
  <r>
    <s v="No"/>
    <s v="Travel_Frequently"/>
    <x v="2"/>
    <s v="Current Employees"/>
    <x v="1"/>
    <x v="2"/>
    <s v="STAFF-57"/>
    <n v="57"/>
    <x v="0"/>
    <x v="2"/>
    <x v="0"/>
    <s v="No"/>
    <s v="Y"/>
    <n v="2"/>
    <n v="-2"/>
    <n v="0"/>
    <n v="30"/>
    <n v="0"/>
    <m/>
    <n v="0"/>
    <n v="1"/>
    <n v="721"/>
    <n v="1"/>
    <x v="0"/>
    <n v="1"/>
    <n v="3"/>
    <n v="58"/>
    <n v="3"/>
    <n v="2"/>
    <n v="4"/>
    <n v="4011"/>
    <n v="10781"/>
    <n v="1"/>
    <n v="23"/>
    <x v="1"/>
    <n v="4"/>
    <n v="80"/>
    <n v="0"/>
    <n v="12"/>
    <n v="3"/>
    <n v="12"/>
    <n v="8"/>
    <n v="3"/>
    <n v="7"/>
  </r>
  <r>
    <s v="Yes"/>
    <s v="Travel_Rarely"/>
    <x v="0"/>
    <s v="Ex-Employees"/>
    <x v="1"/>
    <x v="4"/>
    <s v="STAFF-58"/>
    <n v="58"/>
    <x v="0"/>
    <x v="7"/>
    <x v="1"/>
    <s v="No"/>
    <s v="Y"/>
    <n v="0"/>
    <n v="-2"/>
    <n v="0"/>
    <n v="41"/>
    <n v="1"/>
    <n v="1"/>
    <n v="1"/>
    <n v="0"/>
    <n v="1360"/>
    <n v="12"/>
    <x v="3"/>
    <n v="1"/>
    <n v="2"/>
    <n v="49"/>
    <n v="3"/>
    <n v="5"/>
    <n v="3"/>
    <n v="19545"/>
    <n v="16280"/>
    <n v="1"/>
    <n v="12"/>
    <x v="0"/>
    <n v="4"/>
    <n v="80"/>
    <n v="0"/>
    <n v="23"/>
    <n v="3"/>
    <n v="22"/>
    <n v="15"/>
    <n v="15"/>
    <n v="8"/>
  </r>
  <r>
    <s v="No"/>
    <s v="Non-Travel"/>
    <x v="2"/>
    <s v="Current Employees"/>
    <x v="0"/>
    <x v="3"/>
    <s v="STAFF-60"/>
    <n v="60"/>
    <x v="1"/>
    <x v="0"/>
    <x v="0"/>
    <s v="No"/>
    <s v="Y"/>
    <n v="2"/>
    <n v="-2"/>
    <n v="0"/>
    <n v="34"/>
    <n v="0"/>
    <m/>
    <n v="0"/>
    <n v="1"/>
    <n v="1065"/>
    <n v="23"/>
    <x v="2"/>
    <n v="1"/>
    <n v="2"/>
    <n v="72"/>
    <n v="3"/>
    <n v="2"/>
    <n v="3"/>
    <n v="4568"/>
    <n v="10034"/>
    <n v="0"/>
    <n v="20"/>
    <x v="1"/>
    <n v="3"/>
    <n v="80"/>
    <n v="0"/>
    <n v="10"/>
    <n v="3"/>
    <n v="9"/>
    <n v="5"/>
    <n v="8"/>
    <n v="7"/>
  </r>
  <r>
    <s v="No"/>
    <s v="Travel_Rarely"/>
    <x v="0"/>
    <s v="Current Employees"/>
    <x v="1"/>
    <x v="0"/>
    <s v="STAFF-61"/>
    <n v="61"/>
    <x v="1"/>
    <x v="1"/>
    <x v="1"/>
    <s v="No"/>
    <s v="Y"/>
    <n v="1"/>
    <n v="-2"/>
    <n v="0"/>
    <n v="37"/>
    <n v="0"/>
    <m/>
    <n v="0"/>
    <n v="1"/>
    <n v="408"/>
    <n v="19"/>
    <x v="0"/>
    <n v="1"/>
    <n v="2"/>
    <n v="73"/>
    <n v="3"/>
    <n v="1"/>
    <n v="2"/>
    <n v="3022"/>
    <n v="10227"/>
    <n v="4"/>
    <n v="21"/>
    <x v="1"/>
    <n v="1"/>
    <n v="80"/>
    <n v="0"/>
    <n v="8"/>
    <n v="3"/>
    <n v="1"/>
    <n v="0"/>
    <n v="0"/>
    <n v="0"/>
  </r>
  <r>
    <s v="No"/>
    <s v="Travel_Frequently"/>
    <x v="1"/>
    <s v="Current Employees"/>
    <x v="0"/>
    <x v="3"/>
    <s v="STAFF-62"/>
    <n v="62"/>
    <x v="1"/>
    <x v="0"/>
    <x v="0"/>
    <s v="Yes"/>
    <s v="Y"/>
    <n v="4"/>
    <n v="-2"/>
    <n v="0"/>
    <n v="46"/>
    <n v="0"/>
    <m/>
    <n v="0"/>
    <n v="1"/>
    <n v="1211"/>
    <n v="5"/>
    <x v="2"/>
    <n v="1"/>
    <n v="1"/>
    <n v="98"/>
    <n v="3"/>
    <n v="2"/>
    <n v="4"/>
    <n v="5772"/>
    <n v="20445"/>
    <n v="4"/>
    <n v="21"/>
    <x v="1"/>
    <n v="3"/>
    <n v="80"/>
    <n v="0"/>
    <n v="14"/>
    <n v="3"/>
    <n v="9"/>
    <n v="6"/>
    <n v="0"/>
    <n v="8"/>
  </r>
  <r>
    <s v="No"/>
    <s v="Travel_Rarely"/>
    <x v="0"/>
    <s v="Current Employees"/>
    <x v="1"/>
    <x v="0"/>
    <s v="STAFF-63"/>
    <n v="63"/>
    <x v="1"/>
    <x v="2"/>
    <x v="1"/>
    <s v="No"/>
    <s v="Y"/>
    <n v="2"/>
    <n v="-2"/>
    <n v="0"/>
    <n v="35"/>
    <n v="0"/>
    <m/>
    <n v="0"/>
    <n v="1"/>
    <n v="1229"/>
    <n v="8"/>
    <x v="1"/>
    <n v="1"/>
    <n v="4"/>
    <n v="36"/>
    <n v="4"/>
    <n v="1"/>
    <n v="2"/>
    <n v="2269"/>
    <n v="4892"/>
    <n v="1"/>
    <n v="19"/>
    <x v="0"/>
    <n v="4"/>
    <n v="80"/>
    <n v="0"/>
    <n v="1"/>
    <n v="3"/>
    <n v="1"/>
    <n v="0"/>
    <n v="0"/>
    <n v="1"/>
  </r>
  <r>
    <s v="Yes"/>
    <s v="Travel_Rarely"/>
    <x v="1"/>
    <s v="Ex-Employees"/>
    <x v="1"/>
    <x v="0"/>
    <s v="STAFF-64"/>
    <n v="64"/>
    <x v="1"/>
    <x v="2"/>
    <x v="0"/>
    <s v="Yes"/>
    <s v="Y"/>
    <n v="2"/>
    <n v="-2"/>
    <n v="0"/>
    <n v="48"/>
    <n v="1"/>
    <n v="1"/>
    <n v="1"/>
    <n v="0"/>
    <n v="626"/>
    <n v="1"/>
    <x v="0"/>
    <n v="1"/>
    <n v="1"/>
    <n v="98"/>
    <n v="2"/>
    <n v="3"/>
    <n v="2"/>
    <n v="5381"/>
    <n v="19294"/>
    <n v="9"/>
    <n v="13"/>
    <x v="0"/>
    <n v="4"/>
    <n v="80"/>
    <n v="0"/>
    <n v="23"/>
    <n v="3"/>
    <n v="1"/>
    <n v="0"/>
    <n v="0"/>
    <n v="0"/>
  </r>
  <r>
    <s v="Yes"/>
    <s v="Travel_Rarely"/>
    <x v="2"/>
    <s v="Ex-Employees"/>
    <x v="1"/>
    <x v="4"/>
    <s v="STAFF-65"/>
    <n v="65"/>
    <x v="1"/>
    <x v="2"/>
    <x v="0"/>
    <s v="Yes"/>
    <s v="Y"/>
    <n v="3"/>
    <n v="-2"/>
    <n v="0"/>
    <n v="28"/>
    <n v="1"/>
    <n v="1"/>
    <n v="1"/>
    <n v="0"/>
    <n v="1434"/>
    <n v="5"/>
    <x v="2"/>
    <n v="1"/>
    <n v="3"/>
    <n v="50"/>
    <n v="3"/>
    <n v="1"/>
    <n v="3"/>
    <n v="3441"/>
    <n v="11179"/>
    <n v="1"/>
    <n v="13"/>
    <x v="0"/>
    <n v="3"/>
    <n v="80"/>
    <n v="0"/>
    <n v="2"/>
    <n v="2"/>
    <n v="2"/>
    <n v="2"/>
    <n v="2"/>
    <n v="2"/>
  </r>
  <r>
    <s v="No"/>
    <s v="Travel_Rarely"/>
    <x v="0"/>
    <s v="Current Employees"/>
    <x v="0"/>
    <x v="3"/>
    <s v="STAFF-68"/>
    <n v="68"/>
    <x v="0"/>
    <x v="0"/>
    <x v="2"/>
    <s v="Yes"/>
    <s v="Y"/>
    <n v="2"/>
    <n v="-2"/>
    <n v="0"/>
    <n v="44"/>
    <n v="0"/>
    <m/>
    <n v="0"/>
    <n v="1"/>
    <n v="1488"/>
    <n v="1"/>
    <x v="4"/>
    <n v="1"/>
    <n v="2"/>
    <n v="75"/>
    <n v="3"/>
    <n v="2"/>
    <n v="4"/>
    <n v="5454"/>
    <n v="4009"/>
    <n v="5"/>
    <n v="21"/>
    <x v="1"/>
    <n v="3"/>
    <n v="80"/>
    <n v="1"/>
    <n v="9"/>
    <n v="2"/>
    <n v="4"/>
    <n v="3"/>
    <n v="1"/>
    <n v="3"/>
  </r>
  <r>
    <s v="No"/>
    <s v="Non-Travel"/>
    <x v="0"/>
    <s v="Current Employees"/>
    <x v="1"/>
    <x v="2"/>
    <s v="STAFF-70"/>
    <n v="70"/>
    <x v="1"/>
    <x v="4"/>
    <x v="1"/>
    <s v="Yes"/>
    <s v="Y"/>
    <n v="3"/>
    <n v="-2"/>
    <n v="0"/>
    <n v="35"/>
    <n v="0"/>
    <m/>
    <n v="0"/>
    <n v="1"/>
    <n v="1097"/>
    <n v="11"/>
    <x v="0"/>
    <n v="1"/>
    <n v="3"/>
    <n v="79"/>
    <n v="2"/>
    <n v="3"/>
    <n v="4"/>
    <n v="9884"/>
    <n v="8302"/>
    <n v="2"/>
    <n v="13"/>
    <x v="0"/>
    <n v="3"/>
    <n v="80"/>
    <n v="1"/>
    <n v="10"/>
    <n v="3"/>
    <n v="4"/>
    <n v="0"/>
    <n v="2"/>
    <n v="3"/>
  </r>
  <r>
    <s v="No"/>
    <s v="Travel_Rarely"/>
    <x v="2"/>
    <s v="Current Employees"/>
    <x v="0"/>
    <x v="3"/>
    <s v="STAFF-72"/>
    <n v="72"/>
    <x v="0"/>
    <x v="0"/>
    <x v="1"/>
    <s v="Yes"/>
    <s v="Y"/>
    <n v="2"/>
    <n v="-2"/>
    <n v="0"/>
    <n v="26"/>
    <n v="0"/>
    <m/>
    <n v="0"/>
    <n v="1"/>
    <n v="1443"/>
    <n v="23"/>
    <x v="3"/>
    <n v="1"/>
    <n v="3"/>
    <n v="47"/>
    <n v="2"/>
    <n v="2"/>
    <n v="4"/>
    <n v="4157"/>
    <n v="21436"/>
    <n v="7"/>
    <n v="19"/>
    <x v="0"/>
    <n v="3"/>
    <n v="80"/>
    <n v="1"/>
    <n v="5"/>
    <n v="2"/>
    <n v="2"/>
    <n v="2"/>
    <n v="0"/>
    <n v="0"/>
  </r>
  <r>
    <s v="No"/>
    <s v="Travel_Frequently"/>
    <x v="2"/>
    <s v="Current Employees"/>
    <x v="1"/>
    <x v="0"/>
    <s v="STAFF-73"/>
    <n v="73"/>
    <x v="0"/>
    <x v="7"/>
    <x v="0"/>
    <s v="Yes"/>
    <s v="Y"/>
    <n v="1"/>
    <n v="-2"/>
    <n v="0"/>
    <n v="33"/>
    <n v="0"/>
    <m/>
    <n v="0"/>
    <n v="1"/>
    <n v="515"/>
    <n v="1"/>
    <x v="0"/>
    <n v="1"/>
    <n v="1"/>
    <n v="98"/>
    <n v="3"/>
    <n v="3"/>
    <n v="2"/>
    <n v="13458"/>
    <n v="15146"/>
    <n v="1"/>
    <n v="12"/>
    <x v="0"/>
    <n v="3"/>
    <n v="80"/>
    <n v="0"/>
    <n v="15"/>
    <n v="3"/>
    <n v="15"/>
    <n v="14"/>
    <n v="8"/>
    <n v="12"/>
  </r>
  <r>
    <s v="No"/>
    <s v="Travel_Frequently"/>
    <x v="0"/>
    <s v="Current Employees"/>
    <x v="0"/>
    <x v="0"/>
    <s v="STAFF-74"/>
    <n v="74"/>
    <x v="1"/>
    <x v="0"/>
    <x v="1"/>
    <s v="No"/>
    <s v="Y"/>
    <n v="3"/>
    <n v="-2"/>
    <n v="0"/>
    <n v="35"/>
    <n v="0"/>
    <m/>
    <n v="0"/>
    <n v="1"/>
    <n v="853"/>
    <n v="18"/>
    <x v="4"/>
    <n v="1"/>
    <n v="2"/>
    <n v="71"/>
    <n v="3"/>
    <n v="3"/>
    <n v="2"/>
    <n v="9069"/>
    <n v="11031"/>
    <n v="1"/>
    <n v="22"/>
    <x v="1"/>
    <n v="4"/>
    <n v="80"/>
    <n v="1"/>
    <n v="9"/>
    <n v="2"/>
    <n v="9"/>
    <n v="8"/>
    <n v="1"/>
    <n v="8"/>
  </r>
  <r>
    <s v="No"/>
    <s v="Travel_Rarely"/>
    <x v="0"/>
    <s v="Current Employees"/>
    <x v="1"/>
    <x v="2"/>
    <s v="STAFF-75"/>
    <n v="75"/>
    <x v="0"/>
    <x v="2"/>
    <x v="1"/>
    <s v="Yes"/>
    <s v="Y"/>
    <n v="3"/>
    <n v="-2"/>
    <n v="0"/>
    <n v="35"/>
    <n v="0"/>
    <m/>
    <n v="0"/>
    <n v="1"/>
    <n v="1142"/>
    <n v="23"/>
    <x v="2"/>
    <n v="1"/>
    <n v="3"/>
    <n v="30"/>
    <n v="3"/>
    <n v="1"/>
    <n v="4"/>
    <n v="4014"/>
    <n v="16002"/>
    <n v="3"/>
    <n v="15"/>
    <x v="0"/>
    <n v="3"/>
    <n v="80"/>
    <n v="1"/>
    <n v="4"/>
    <n v="3"/>
    <n v="2"/>
    <n v="2"/>
    <n v="2"/>
    <n v="2"/>
  </r>
  <r>
    <s v="No"/>
    <s v="Travel_Rarely"/>
    <x v="2"/>
    <s v="Current Employees"/>
    <x v="1"/>
    <x v="0"/>
    <s v="STAFF-76"/>
    <n v="76"/>
    <x v="1"/>
    <x v="2"/>
    <x v="2"/>
    <s v="No"/>
    <s v="Y"/>
    <n v="3"/>
    <n v="-2"/>
    <n v="0"/>
    <n v="31"/>
    <n v="0"/>
    <m/>
    <n v="0"/>
    <n v="1"/>
    <n v="655"/>
    <n v="7"/>
    <x v="2"/>
    <n v="1"/>
    <n v="4"/>
    <n v="48"/>
    <n v="3"/>
    <n v="2"/>
    <n v="2"/>
    <n v="5915"/>
    <n v="9528"/>
    <n v="3"/>
    <n v="22"/>
    <x v="1"/>
    <n v="4"/>
    <n v="80"/>
    <n v="1"/>
    <n v="10"/>
    <n v="2"/>
    <n v="7"/>
    <n v="7"/>
    <n v="1"/>
    <n v="7"/>
  </r>
  <r>
    <s v="No"/>
    <s v="Travel_Rarely"/>
    <x v="0"/>
    <s v="Current Employees"/>
    <x v="1"/>
    <x v="0"/>
    <s v="STAFF-77"/>
    <n v="77"/>
    <x v="1"/>
    <x v="3"/>
    <x v="2"/>
    <s v="No"/>
    <s v="Y"/>
    <n v="2"/>
    <n v="-2"/>
    <n v="0"/>
    <n v="37"/>
    <n v="0"/>
    <m/>
    <n v="0"/>
    <n v="1"/>
    <n v="1115"/>
    <n v="1"/>
    <x v="2"/>
    <n v="1"/>
    <n v="1"/>
    <n v="51"/>
    <n v="2"/>
    <n v="2"/>
    <n v="2"/>
    <n v="5993"/>
    <n v="2689"/>
    <n v="1"/>
    <n v="18"/>
    <x v="0"/>
    <n v="3"/>
    <n v="80"/>
    <n v="1"/>
    <n v="7"/>
    <n v="4"/>
    <n v="7"/>
    <n v="5"/>
    <n v="0"/>
    <n v="7"/>
  </r>
  <r>
    <s v="No"/>
    <s v="Travel_Rarely"/>
    <x v="2"/>
    <s v="Current Employees"/>
    <x v="1"/>
    <x v="2"/>
    <s v="STAFF-78"/>
    <n v="78"/>
    <x v="1"/>
    <x v="3"/>
    <x v="1"/>
    <s v="Yes"/>
    <s v="Y"/>
    <n v="3"/>
    <n v="-2"/>
    <n v="0"/>
    <n v="32"/>
    <n v="0"/>
    <m/>
    <n v="0"/>
    <n v="1"/>
    <n v="427"/>
    <n v="1"/>
    <x v="3"/>
    <n v="1"/>
    <n v="1"/>
    <n v="33"/>
    <n v="3"/>
    <n v="2"/>
    <n v="4"/>
    <n v="6162"/>
    <n v="10877"/>
    <n v="1"/>
    <n v="22"/>
    <x v="1"/>
    <n v="2"/>
    <n v="80"/>
    <n v="1"/>
    <n v="9"/>
    <n v="3"/>
    <n v="9"/>
    <n v="8"/>
    <n v="7"/>
    <n v="8"/>
  </r>
  <r>
    <s v="No"/>
    <s v="Travel_Frequently"/>
    <x v="0"/>
    <s v="Current Employees"/>
    <x v="1"/>
    <x v="0"/>
    <s v="STAFF-79"/>
    <n v="79"/>
    <x v="0"/>
    <x v="2"/>
    <x v="0"/>
    <s v="No"/>
    <s v="Y"/>
    <n v="2"/>
    <n v="-2"/>
    <n v="0"/>
    <n v="38"/>
    <n v="0"/>
    <m/>
    <n v="0"/>
    <n v="1"/>
    <n v="653"/>
    <n v="29"/>
    <x v="4"/>
    <n v="1"/>
    <n v="4"/>
    <n v="50"/>
    <n v="3"/>
    <n v="2"/>
    <n v="2"/>
    <n v="2406"/>
    <n v="5456"/>
    <n v="1"/>
    <n v="11"/>
    <x v="0"/>
    <n v="4"/>
    <n v="80"/>
    <n v="0"/>
    <n v="10"/>
    <n v="3"/>
    <n v="10"/>
    <n v="3"/>
    <n v="9"/>
    <n v="9"/>
  </r>
  <r>
    <s v="No"/>
    <s v="Travel_Rarely"/>
    <x v="1"/>
    <s v="Current Employees"/>
    <x v="1"/>
    <x v="2"/>
    <s v="STAFF-80"/>
    <n v="80"/>
    <x v="0"/>
    <x v="7"/>
    <x v="2"/>
    <s v="Yes"/>
    <s v="Y"/>
    <n v="2"/>
    <n v="-2"/>
    <n v="0"/>
    <n v="50"/>
    <n v="0"/>
    <m/>
    <n v="0"/>
    <n v="1"/>
    <n v="989"/>
    <n v="7"/>
    <x v="0"/>
    <n v="1"/>
    <n v="2"/>
    <n v="43"/>
    <n v="2"/>
    <n v="5"/>
    <n v="3"/>
    <n v="18740"/>
    <n v="16701"/>
    <n v="5"/>
    <n v="12"/>
    <x v="0"/>
    <n v="4"/>
    <n v="80"/>
    <n v="1"/>
    <n v="29"/>
    <n v="2"/>
    <n v="27"/>
    <n v="3"/>
    <n v="13"/>
    <n v="8"/>
  </r>
  <r>
    <s v="No"/>
    <s v="Travel_Rarely"/>
    <x v="3"/>
    <s v="Current Employees"/>
    <x v="0"/>
    <x v="0"/>
    <s v="STAFF-81"/>
    <n v="81"/>
    <x v="0"/>
    <x v="0"/>
    <x v="0"/>
    <s v="No"/>
    <s v="Y"/>
    <n v="3"/>
    <n v="-2"/>
    <n v="0"/>
    <n v="59"/>
    <n v="0"/>
    <m/>
    <n v="0"/>
    <n v="1"/>
    <n v="1435"/>
    <n v="25"/>
    <x v="3"/>
    <n v="1"/>
    <n v="1"/>
    <n v="99"/>
    <n v="3"/>
    <n v="3"/>
    <n v="2"/>
    <n v="7637"/>
    <n v="2354"/>
    <n v="7"/>
    <n v="11"/>
    <x v="0"/>
    <n v="4"/>
    <n v="80"/>
    <n v="0"/>
    <n v="28"/>
    <n v="2"/>
    <n v="21"/>
    <n v="16"/>
    <n v="7"/>
    <n v="9"/>
  </r>
  <r>
    <s v="No"/>
    <s v="Travel_Rarely"/>
    <x v="0"/>
    <s v="Current Employees"/>
    <x v="1"/>
    <x v="4"/>
    <s v="STAFF-83"/>
    <n v="83"/>
    <x v="0"/>
    <x v="4"/>
    <x v="2"/>
    <s v="No"/>
    <s v="Y"/>
    <n v="2"/>
    <n v="-2"/>
    <n v="0"/>
    <n v="36"/>
    <n v="0"/>
    <m/>
    <n v="0"/>
    <n v="1"/>
    <n v="1223"/>
    <n v="8"/>
    <x v="3"/>
    <n v="1"/>
    <n v="3"/>
    <n v="59"/>
    <n v="3"/>
    <n v="3"/>
    <n v="3"/>
    <n v="10096"/>
    <n v="8202"/>
    <n v="1"/>
    <n v="13"/>
    <x v="0"/>
    <n v="2"/>
    <n v="80"/>
    <n v="3"/>
    <n v="17"/>
    <n v="3"/>
    <n v="17"/>
    <n v="14"/>
    <n v="12"/>
    <n v="8"/>
  </r>
  <r>
    <s v="No"/>
    <s v="Travel_Rarely"/>
    <x v="3"/>
    <s v="Current Employees"/>
    <x v="1"/>
    <x v="2"/>
    <s v="STAFF-84"/>
    <n v="84"/>
    <x v="0"/>
    <x v="5"/>
    <x v="2"/>
    <s v="Yes"/>
    <s v="Y"/>
    <n v="2"/>
    <n v="-2"/>
    <n v="0"/>
    <n v="55"/>
    <n v="0"/>
    <m/>
    <n v="0"/>
    <n v="1"/>
    <n v="836"/>
    <n v="8"/>
    <x v="3"/>
    <n v="1"/>
    <n v="4"/>
    <n v="33"/>
    <n v="3"/>
    <n v="4"/>
    <n v="3"/>
    <n v="14756"/>
    <n v="19730"/>
    <n v="2"/>
    <n v="14"/>
    <x v="0"/>
    <n v="3"/>
    <n v="80"/>
    <n v="3"/>
    <n v="21"/>
    <n v="3"/>
    <n v="5"/>
    <n v="0"/>
    <n v="0"/>
    <n v="2"/>
  </r>
  <r>
    <s v="No"/>
    <s v="Travel_Frequently"/>
    <x v="0"/>
    <s v="Current Employees"/>
    <x v="1"/>
    <x v="0"/>
    <s v="STAFF-85"/>
    <n v="85"/>
    <x v="1"/>
    <x v="3"/>
    <x v="0"/>
    <s v="No"/>
    <s v="Y"/>
    <n v="3"/>
    <n v="-2"/>
    <n v="0"/>
    <n v="36"/>
    <n v="0"/>
    <m/>
    <n v="0"/>
    <n v="1"/>
    <n v="1195"/>
    <n v="11"/>
    <x v="3"/>
    <n v="1"/>
    <n v="2"/>
    <n v="95"/>
    <n v="2"/>
    <n v="2"/>
    <n v="2"/>
    <n v="6499"/>
    <n v="22656"/>
    <n v="1"/>
    <n v="13"/>
    <x v="0"/>
    <n v="3"/>
    <n v="80"/>
    <n v="0"/>
    <n v="6"/>
    <n v="3"/>
    <n v="6"/>
    <n v="5"/>
    <n v="0"/>
    <n v="3"/>
  </r>
  <r>
    <s v="No"/>
    <s v="Travel_Rarely"/>
    <x v="1"/>
    <s v="Current Employees"/>
    <x v="1"/>
    <x v="0"/>
    <s v="STAFF-86"/>
    <n v="86"/>
    <x v="1"/>
    <x v="1"/>
    <x v="2"/>
    <s v="No"/>
    <s v="Y"/>
    <n v="2"/>
    <n v="-2"/>
    <n v="0"/>
    <n v="45"/>
    <n v="0"/>
    <m/>
    <n v="0"/>
    <n v="1"/>
    <n v="1339"/>
    <n v="7"/>
    <x v="3"/>
    <n v="1"/>
    <n v="2"/>
    <n v="59"/>
    <n v="3"/>
    <n v="3"/>
    <n v="2"/>
    <n v="9724"/>
    <n v="18787"/>
    <n v="2"/>
    <n v="17"/>
    <x v="0"/>
    <n v="3"/>
    <n v="80"/>
    <n v="1"/>
    <n v="25"/>
    <n v="3"/>
    <n v="1"/>
    <n v="0"/>
    <n v="0"/>
    <n v="0"/>
  </r>
  <r>
    <s v="No"/>
    <s v="Travel_Frequently"/>
    <x v="0"/>
    <s v="Current Employees"/>
    <x v="1"/>
    <x v="2"/>
    <s v="STAFF-88"/>
    <n v="88"/>
    <x v="1"/>
    <x v="1"/>
    <x v="1"/>
    <s v="No"/>
    <s v="Y"/>
    <n v="2"/>
    <n v="-2"/>
    <n v="0"/>
    <n v="35"/>
    <n v="0"/>
    <m/>
    <n v="0"/>
    <n v="1"/>
    <n v="664"/>
    <n v="1"/>
    <x v="3"/>
    <n v="1"/>
    <n v="2"/>
    <n v="79"/>
    <n v="3"/>
    <n v="1"/>
    <n v="4"/>
    <n v="2194"/>
    <n v="5868"/>
    <n v="4"/>
    <n v="13"/>
    <x v="0"/>
    <n v="4"/>
    <n v="80"/>
    <n v="1"/>
    <n v="5"/>
    <n v="2"/>
    <n v="3"/>
    <n v="2"/>
    <n v="1"/>
    <n v="2"/>
  </r>
  <r>
    <s v="Yes"/>
    <s v="Travel_Rarely"/>
    <x v="0"/>
    <s v="Ex-Employees"/>
    <x v="1"/>
    <x v="2"/>
    <s v="STAFF-90"/>
    <n v="90"/>
    <x v="1"/>
    <x v="1"/>
    <x v="1"/>
    <s v="Yes"/>
    <s v="Y"/>
    <n v="0"/>
    <n v="-2"/>
    <n v="0"/>
    <n v="36"/>
    <n v="1"/>
    <n v="1"/>
    <n v="1"/>
    <n v="0"/>
    <n v="318"/>
    <n v="9"/>
    <x v="3"/>
    <n v="1"/>
    <n v="4"/>
    <n v="79"/>
    <n v="2"/>
    <n v="1"/>
    <n v="3"/>
    <n v="3388"/>
    <n v="21777"/>
    <n v="0"/>
    <n v="17"/>
    <x v="0"/>
    <n v="1"/>
    <n v="80"/>
    <n v="1"/>
    <n v="2"/>
    <n v="2"/>
    <n v="1"/>
    <n v="0"/>
    <n v="0"/>
    <n v="0"/>
  </r>
  <r>
    <s v="No"/>
    <s v="Travel_Frequently"/>
    <x v="3"/>
    <s v="Current Employees"/>
    <x v="0"/>
    <x v="0"/>
    <s v="STAFF-91"/>
    <n v="91"/>
    <x v="0"/>
    <x v="0"/>
    <x v="0"/>
    <s v="No"/>
    <s v="Y"/>
    <n v="2"/>
    <n v="-2"/>
    <n v="0"/>
    <n v="59"/>
    <n v="0"/>
    <m/>
    <n v="0"/>
    <n v="1"/>
    <n v="1225"/>
    <n v="1"/>
    <x v="1"/>
    <n v="1"/>
    <n v="1"/>
    <n v="57"/>
    <n v="2"/>
    <n v="2"/>
    <n v="2"/>
    <n v="5473"/>
    <n v="24668"/>
    <n v="7"/>
    <n v="11"/>
    <x v="0"/>
    <n v="4"/>
    <n v="80"/>
    <n v="0"/>
    <n v="20"/>
    <n v="2"/>
    <n v="4"/>
    <n v="3"/>
    <n v="1"/>
    <n v="3"/>
  </r>
  <r>
    <s v="No"/>
    <s v="Travel_Rarely"/>
    <x v="2"/>
    <s v="Current Employees"/>
    <x v="1"/>
    <x v="0"/>
    <s v="STAFF-94"/>
    <n v="94"/>
    <x v="1"/>
    <x v="1"/>
    <x v="1"/>
    <s v="No"/>
    <s v="Y"/>
    <n v="3"/>
    <n v="-2"/>
    <n v="0"/>
    <n v="29"/>
    <n v="0"/>
    <m/>
    <n v="0"/>
    <n v="1"/>
    <n v="1328"/>
    <n v="2"/>
    <x v="3"/>
    <n v="1"/>
    <n v="3"/>
    <n v="76"/>
    <n v="3"/>
    <n v="1"/>
    <n v="2"/>
    <n v="2703"/>
    <n v="4956"/>
    <n v="0"/>
    <n v="23"/>
    <x v="1"/>
    <n v="4"/>
    <n v="80"/>
    <n v="1"/>
    <n v="6"/>
    <n v="3"/>
    <n v="5"/>
    <n v="4"/>
    <n v="0"/>
    <n v="4"/>
  </r>
  <r>
    <s v="No"/>
    <s v="Travel_Rarely"/>
    <x v="2"/>
    <s v="Current Employees"/>
    <x v="1"/>
    <x v="2"/>
    <s v="STAFF-95"/>
    <n v="95"/>
    <x v="1"/>
    <x v="1"/>
    <x v="0"/>
    <s v="No"/>
    <s v="Y"/>
    <n v="4"/>
    <n v="-2"/>
    <n v="0"/>
    <n v="31"/>
    <n v="0"/>
    <m/>
    <n v="0"/>
    <n v="1"/>
    <n v="1082"/>
    <n v="1"/>
    <x v="2"/>
    <n v="1"/>
    <n v="3"/>
    <n v="87"/>
    <n v="3"/>
    <n v="1"/>
    <n v="3"/>
    <n v="2501"/>
    <n v="18775"/>
    <n v="1"/>
    <n v="17"/>
    <x v="0"/>
    <n v="2"/>
    <n v="80"/>
    <n v="0"/>
    <n v="1"/>
    <n v="3"/>
    <n v="1"/>
    <n v="1"/>
    <n v="1"/>
    <n v="0"/>
  </r>
  <r>
    <s v="No"/>
    <s v="Travel_Rarely"/>
    <x v="2"/>
    <s v="Current Employees"/>
    <x v="1"/>
    <x v="0"/>
    <s v="STAFF-96"/>
    <n v="96"/>
    <x v="1"/>
    <x v="1"/>
    <x v="1"/>
    <s v="No"/>
    <s v="Y"/>
    <n v="3"/>
    <n v="-2"/>
    <n v="0"/>
    <n v="32"/>
    <n v="0"/>
    <m/>
    <n v="0"/>
    <n v="1"/>
    <n v="548"/>
    <n v="1"/>
    <x v="3"/>
    <n v="1"/>
    <n v="2"/>
    <n v="66"/>
    <n v="3"/>
    <n v="2"/>
    <n v="2"/>
    <n v="6220"/>
    <n v="7346"/>
    <n v="1"/>
    <n v="17"/>
    <x v="0"/>
    <n v="2"/>
    <n v="80"/>
    <n v="2"/>
    <n v="10"/>
    <n v="3"/>
    <n v="10"/>
    <n v="4"/>
    <n v="0"/>
    <n v="9"/>
  </r>
  <r>
    <s v="No"/>
    <s v="Travel_Rarely"/>
    <x v="0"/>
    <s v="Current Employees"/>
    <x v="1"/>
    <x v="0"/>
    <s v="STAFF-97"/>
    <n v="97"/>
    <x v="0"/>
    <x v="2"/>
    <x v="1"/>
    <s v="No"/>
    <s v="Y"/>
    <n v="3"/>
    <n v="-2"/>
    <n v="0"/>
    <n v="36"/>
    <n v="0"/>
    <m/>
    <n v="0"/>
    <n v="1"/>
    <n v="132"/>
    <n v="6"/>
    <x v="3"/>
    <n v="1"/>
    <n v="2"/>
    <n v="55"/>
    <n v="4"/>
    <n v="1"/>
    <n v="2"/>
    <n v="3038"/>
    <n v="22002"/>
    <n v="3"/>
    <n v="12"/>
    <x v="0"/>
    <n v="2"/>
    <n v="80"/>
    <n v="0"/>
    <n v="5"/>
    <n v="3"/>
    <n v="1"/>
    <n v="0"/>
    <n v="0"/>
    <n v="0"/>
  </r>
  <r>
    <s v="No"/>
    <s v="Travel_Rarely"/>
    <x v="2"/>
    <s v="Current Employees"/>
    <x v="1"/>
    <x v="0"/>
    <s v="STAFF-98"/>
    <n v="98"/>
    <x v="0"/>
    <x v="3"/>
    <x v="0"/>
    <s v="No"/>
    <s v="Y"/>
    <n v="2"/>
    <n v="-2"/>
    <n v="0"/>
    <n v="31"/>
    <n v="0"/>
    <m/>
    <n v="0"/>
    <n v="1"/>
    <n v="746"/>
    <n v="8"/>
    <x v="2"/>
    <n v="1"/>
    <n v="3"/>
    <n v="61"/>
    <n v="3"/>
    <n v="2"/>
    <n v="2"/>
    <n v="4424"/>
    <n v="20682"/>
    <n v="1"/>
    <n v="23"/>
    <x v="1"/>
    <n v="4"/>
    <n v="80"/>
    <n v="0"/>
    <n v="11"/>
    <n v="3"/>
    <n v="11"/>
    <n v="7"/>
    <n v="1"/>
    <n v="8"/>
  </r>
  <r>
    <s v="No"/>
    <s v="Travel_Rarely"/>
    <x v="0"/>
    <s v="Current Employees"/>
    <x v="0"/>
    <x v="3"/>
    <s v="STAFF-100"/>
    <n v="100"/>
    <x v="1"/>
    <x v="0"/>
    <x v="0"/>
    <s v="No"/>
    <s v="Y"/>
    <n v="2"/>
    <n v="-2"/>
    <n v="0"/>
    <n v="35"/>
    <n v="0"/>
    <m/>
    <n v="0"/>
    <n v="1"/>
    <n v="776"/>
    <n v="1"/>
    <x v="2"/>
    <n v="1"/>
    <n v="3"/>
    <n v="32"/>
    <n v="2"/>
    <n v="2"/>
    <n v="4"/>
    <n v="4312"/>
    <n v="23016"/>
    <n v="0"/>
    <n v="14"/>
    <x v="0"/>
    <n v="2"/>
    <n v="80"/>
    <n v="0"/>
    <n v="16"/>
    <n v="3"/>
    <n v="15"/>
    <n v="13"/>
    <n v="2"/>
    <n v="8"/>
  </r>
  <r>
    <s v="No"/>
    <s v="Travel_Rarely"/>
    <x v="1"/>
    <s v="Current Employees"/>
    <x v="1"/>
    <x v="1"/>
    <s v="STAFF-101"/>
    <n v="101"/>
    <x v="1"/>
    <x v="7"/>
    <x v="1"/>
    <s v="Yes"/>
    <s v="Y"/>
    <n v="3"/>
    <n v="-2"/>
    <n v="0"/>
    <n v="45"/>
    <n v="0"/>
    <m/>
    <n v="0"/>
    <n v="1"/>
    <n v="193"/>
    <n v="6"/>
    <x v="2"/>
    <n v="1"/>
    <n v="4"/>
    <n v="52"/>
    <n v="3"/>
    <n v="3"/>
    <n v="4"/>
    <n v="13245"/>
    <n v="15067"/>
    <n v="4"/>
    <n v="14"/>
    <x v="0"/>
    <n v="2"/>
    <n v="80"/>
    <n v="0"/>
    <n v="17"/>
    <n v="4"/>
    <n v="0"/>
    <n v="0"/>
    <n v="0"/>
    <n v="0"/>
  </r>
  <r>
    <s v="No"/>
    <s v="Travel_Rarely"/>
    <x v="0"/>
    <s v="Current Employees"/>
    <x v="1"/>
    <x v="2"/>
    <s v="STAFF-102"/>
    <n v="102"/>
    <x v="1"/>
    <x v="7"/>
    <x v="0"/>
    <s v="No"/>
    <s v="Y"/>
    <n v="3"/>
    <n v="-2"/>
    <n v="0"/>
    <n v="37"/>
    <n v="0"/>
    <m/>
    <n v="0"/>
    <n v="1"/>
    <n v="397"/>
    <n v="7"/>
    <x v="2"/>
    <n v="1"/>
    <n v="1"/>
    <n v="30"/>
    <n v="3"/>
    <n v="3"/>
    <n v="3"/>
    <n v="13664"/>
    <n v="25258"/>
    <n v="4"/>
    <n v="13"/>
    <x v="0"/>
    <n v="1"/>
    <n v="80"/>
    <n v="0"/>
    <n v="16"/>
    <n v="4"/>
    <n v="5"/>
    <n v="2"/>
    <n v="0"/>
    <n v="2"/>
  </r>
  <r>
    <s v="No"/>
    <s v="Travel_Rarely"/>
    <x v="1"/>
    <s v="Current Employees"/>
    <x v="2"/>
    <x v="2"/>
    <s v="STAFF-103"/>
    <n v="103"/>
    <x v="1"/>
    <x v="8"/>
    <x v="2"/>
    <s v="Yes"/>
    <s v="Y"/>
    <n v="2"/>
    <n v="-2"/>
    <n v="0"/>
    <n v="46"/>
    <n v="0"/>
    <m/>
    <n v="0"/>
    <n v="1"/>
    <n v="945"/>
    <n v="5"/>
    <x v="0"/>
    <n v="1"/>
    <n v="2"/>
    <n v="80"/>
    <n v="3"/>
    <n v="2"/>
    <n v="3"/>
    <n v="5021"/>
    <n v="10425"/>
    <n v="8"/>
    <n v="22"/>
    <x v="1"/>
    <n v="4"/>
    <n v="80"/>
    <n v="1"/>
    <n v="16"/>
    <n v="3"/>
    <n v="4"/>
    <n v="2"/>
    <n v="0"/>
    <n v="2"/>
  </r>
  <r>
    <s v="No"/>
    <s v="Travel_Rarely"/>
    <x v="2"/>
    <s v="Current Employees"/>
    <x v="1"/>
    <x v="0"/>
    <s v="STAFF-104"/>
    <n v="104"/>
    <x v="1"/>
    <x v="2"/>
    <x v="1"/>
    <s v="Yes"/>
    <s v="Y"/>
    <n v="1"/>
    <n v="-2"/>
    <n v="0"/>
    <n v="30"/>
    <n v="0"/>
    <m/>
    <n v="0"/>
    <n v="1"/>
    <n v="852"/>
    <n v="1"/>
    <x v="1"/>
    <n v="1"/>
    <n v="4"/>
    <n v="55"/>
    <n v="2"/>
    <n v="2"/>
    <n v="2"/>
    <n v="5126"/>
    <n v="15998"/>
    <n v="1"/>
    <n v="12"/>
    <x v="0"/>
    <n v="3"/>
    <n v="80"/>
    <n v="2"/>
    <n v="10"/>
    <n v="2"/>
    <n v="10"/>
    <n v="8"/>
    <n v="3"/>
    <n v="0"/>
  </r>
  <r>
    <s v="No"/>
    <s v="Travel_Rarely"/>
    <x v="0"/>
    <s v="Current Employees"/>
    <x v="1"/>
    <x v="2"/>
    <s v="STAFF-105"/>
    <n v="105"/>
    <x v="1"/>
    <x v="1"/>
    <x v="0"/>
    <s v="No"/>
    <s v="Y"/>
    <n v="3"/>
    <n v="-2"/>
    <n v="0"/>
    <n v="35"/>
    <n v="0"/>
    <m/>
    <n v="0"/>
    <n v="1"/>
    <n v="1214"/>
    <n v="1"/>
    <x v="3"/>
    <n v="1"/>
    <n v="2"/>
    <n v="30"/>
    <n v="2"/>
    <n v="1"/>
    <n v="3"/>
    <n v="2859"/>
    <n v="26278"/>
    <n v="1"/>
    <n v="18"/>
    <x v="0"/>
    <n v="1"/>
    <n v="80"/>
    <n v="0"/>
    <n v="6"/>
    <n v="3"/>
    <n v="6"/>
    <n v="4"/>
    <n v="0"/>
    <n v="4"/>
  </r>
  <r>
    <s v="No"/>
    <s v="Travel_Rarely"/>
    <x v="3"/>
    <s v="Current Employees"/>
    <x v="0"/>
    <x v="0"/>
    <s v="STAFF-106"/>
    <n v="106"/>
    <x v="1"/>
    <x v="0"/>
    <x v="1"/>
    <s v="No"/>
    <s v="Y"/>
    <n v="4"/>
    <n v="-2"/>
    <n v="0"/>
    <n v="55"/>
    <n v="0"/>
    <m/>
    <n v="0"/>
    <n v="1"/>
    <n v="111"/>
    <n v="1"/>
    <x v="0"/>
    <n v="1"/>
    <n v="1"/>
    <n v="70"/>
    <n v="3"/>
    <n v="3"/>
    <n v="2"/>
    <n v="10239"/>
    <n v="18092"/>
    <n v="3"/>
    <n v="14"/>
    <x v="0"/>
    <n v="4"/>
    <n v="80"/>
    <n v="1"/>
    <n v="24"/>
    <n v="3"/>
    <n v="1"/>
    <n v="0"/>
    <n v="1"/>
    <n v="0"/>
  </r>
  <r>
    <s v="No"/>
    <s v="Non-Travel"/>
    <x v="0"/>
    <s v="Current Employees"/>
    <x v="1"/>
    <x v="2"/>
    <s v="STAFF-107"/>
    <n v="107"/>
    <x v="0"/>
    <x v="1"/>
    <x v="2"/>
    <s v="Yes"/>
    <s v="Y"/>
    <n v="3"/>
    <n v="-2"/>
    <n v="0"/>
    <n v="38"/>
    <n v="0"/>
    <m/>
    <n v="0"/>
    <n v="1"/>
    <n v="573"/>
    <n v="6"/>
    <x v="3"/>
    <n v="1"/>
    <n v="2"/>
    <n v="79"/>
    <n v="1"/>
    <n v="2"/>
    <n v="4"/>
    <n v="5329"/>
    <n v="15717"/>
    <n v="7"/>
    <n v="12"/>
    <x v="0"/>
    <n v="4"/>
    <n v="80"/>
    <n v="3"/>
    <n v="17"/>
    <n v="3"/>
    <n v="13"/>
    <n v="11"/>
    <n v="1"/>
    <n v="9"/>
  </r>
  <r>
    <s v="No"/>
    <s v="Travel_Rarely"/>
    <x v="2"/>
    <s v="Current Employees"/>
    <x v="1"/>
    <x v="2"/>
    <s v="STAFF-110"/>
    <n v="110"/>
    <x v="1"/>
    <x v="3"/>
    <x v="1"/>
    <s v="No"/>
    <s v="Y"/>
    <n v="2"/>
    <n v="-2"/>
    <n v="0"/>
    <n v="34"/>
    <n v="0"/>
    <m/>
    <n v="0"/>
    <n v="1"/>
    <n v="1153"/>
    <n v="1"/>
    <x v="0"/>
    <n v="1"/>
    <n v="1"/>
    <n v="94"/>
    <n v="3"/>
    <n v="2"/>
    <n v="3"/>
    <n v="4325"/>
    <n v="17736"/>
    <n v="1"/>
    <n v="15"/>
    <x v="0"/>
    <n v="3"/>
    <n v="80"/>
    <n v="0"/>
    <n v="5"/>
    <n v="3"/>
    <n v="5"/>
    <n v="2"/>
    <n v="1"/>
    <n v="3"/>
  </r>
  <r>
    <s v="No"/>
    <s v="Travel_Rarely"/>
    <x v="3"/>
    <s v="Current Employees"/>
    <x v="1"/>
    <x v="0"/>
    <s v="STAFF-112"/>
    <n v="112"/>
    <x v="1"/>
    <x v="3"/>
    <x v="0"/>
    <s v="No"/>
    <s v="Y"/>
    <n v="3"/>
    <n v="-2"/>
    <n v="0"/>
    <n v="56"/>
    <n v="0"/>
    <m/>
    <n v="0"/>
    <n v="1"/>
    <n v="1400"/>
    <n v="7"/>
    <x v="3"/>
    <n v="1"/>
    <n v="4"/>
    <n v="49"/>
    <n v="1"/>
    <n v="3"/>
    <n v="2"/>
    <n v="7260"/>
    <n v="21698"/>
    <n v="4"/>
    <n v="11"/>
    <x v="0"/>
    <n v="1"/>
    <n v="80"/>
    <n v="0"/>
    <n v="37"/>
    <n v="2"/>
    <n v="6"/>
    <n v="4"/>
    <n v="0"/>
    <n v="2"/>
  </r>
  <r>
    <s v="No"/>
    <s v="Travel_Rarely"/>
    <x v="4"/>
    <s v="Current Employees"/>
    <x v="0"/>
    <x v="4"/>
    <s v="STAFF-113"/>
    <n v="113"/>
    <x v="1"/>
    <x v="6"/>
    <x v="2"/>
    <s v="No"/>
    <s v="Y"/>
    <n v="3"/>
    <n v="-2"/>
    <n v="0"/>
    <n v="23"/>
    <n v="0"/>
    <m/>
    <n v="0"/>
    <n v="1"/>
    <n v="541"/>
    <n v="2"/>
    <x v="1"/>
    <n v="1"/>
    <n v="3"/>
    <n v="62"/>
    <n v="3"/>
    <n v="1"/>
    <n v="4"/>
    <n v="2322"/>
    <n v="9518"/>
    <n v="3"/>
    <n v="13"/>
    <x v="0"/>
    <n v="3"/>
    <n v="80"/>
    <n v="1"/>
    <n v="3"/>
    <n v="3"/>
    <n v="0"/>
    <n v="0"/>
    <n v="0"/>
    <n v="0"/>
  </r>
  <r>
    <s v="No"/>
    <s v="Travel_Rarely"/>
    <x v="1"/>
    <s v="Current Employees"/>
    <x v="1"/>
    <x v="0"/>
    <s v="STAFF-116"/>
    <n v="116"/>
    <x v="1"/>
    <x v="2"/>
    <x v="1"/>
    <s v="No"/>
    <s v="Y"/>
    <n v="4"/>
    <n v="-2"/>
    <n v="0"/>
    <n v="51"/>
    <n v="0"/>
    <m/>
    <n v="0"/>
    <n v="1"/>
    <n v="432"/>
    <n v="9"/>
    <x v="2"/>
    <n v="1"/>
    <n v="4"/>
    <n v="96"/>
    <n v="3"/>
    <n v="1"/>
    <n v="2"/>
    <n v="2075"/>
    <n v="18725"/>
    <n v="3"/>
    <n v="23"/>
    <x v="1"/>
    <n v="2"/>
    <n v="80"/>
    <n v="2"/>
    <n v="10"/>
    <n v="3"/>
    <n v="4"/>
    <n v="2"/>
    <n v="0"/>
    <n v="3"/>
  </r>
  <r>
    <s v="No"/>
    <s v="Travel_Rarely"/>
    <x v="2"/>
    <s v="Current Employees"/>
    <x v="1"/>
    <x v="0"/>
    <s v="STAFF-117"/>
    <n v="117"/>
    <x v="1"/>
    <x v="4"/>
    <x v="1"/>
    <s v="No"/>
    <s v="Y"/>
    <n v="3"/>
    <n v="-2"/>
    <n v="0"/>
    <n v="30"/>
    <n v="0"/>
    <m/>
    <n v="0"/>
    <n v="1"/>
    <n v="288"/>
    <n v="2"/>
    <x v="3"/>
    <n v="1"/>
    <n v="3"/>
    <n v="99"/>
    <n v="2"/>
    <n v="2"/>
    <n v="2"/>
    <n v="4152"/>
    <n v="15830"/>
    <n v="1"/>
    <n v="19"/>
    <x v="0"/>
    <n v="1"/>
    <n v="80"/>
    <n v="3"/>
    <n v="11"/>
    <n v="3"/>
    <n v="11"/>
    <n v="10"/>
    <n v="10"/>
    <n v="8"/>
  </r>
  <r>
    <s v="Yes"/>
    <s v="Travel_Rarely"/>
    <x v="1"/>
    <s v="Ex-Employees"/>
    <x v="0"/>
    <x v="2"/>
    <s v="STAFF-118"/>
    <n v="118"/>
    <x v="1"/>
    <x v="0"/>
    <x v="0"/>
    <s v="No"/>
    <s v="Y"/>
    <n v="3"/>
    <n v="-2"/>
    <n v="0"/>
    <n v="46"/>
    <n v="1"/>
    <n v="1"/>
    <n v="1"/>
    <n v="0"/>
    <n v="669"/>
    <n v="9"/>
    <x v="0"/>
    <n v="1"/>
    <n v="3"/>
    <n v="64"/>
    <n v="2"/>
    <n v="3"/>
    <n v="4"/>
    <n v="9619"/>
    <n v="13596"/>
    <n v="1"/>
    <n v="16"/>
    <x v="0"/>
    <n v="4"/>
    <n v="80"/>
    <n v="0"/>
    <n v="9"/>
    <n v="3"/>
    <n v="9"/>
    <n v="8"/>
    <n v="4"/>
    <n v="7"/>
  </r>
  <r>
    <s v="No"/>
    <s v="Travel_Frequently"/>
    <x v="0"/>
    <s v="Current Employees"/>
    <x v="1"/>
    <x v="0"/>
    <s v="STAFF-119"/>
    <n v="119"/>
    <x v="1"/>
    <x v="4"/>
    <x v="1"/>
    <s v="No"/>
    <s v="Y"/>
    <n v="3"/>
    <n v="-2"/>
    <n v="0"/>
    <n v="40"/>
    <n v="0"/>
    <m/>
    <n v="0"/>
    <n v="1"/>
    <n v="530"/>
    <n v="1"/>
    <x v="2"/>
    <n v="1"/>
    <n v="3"/>
    <n v="78"/>
    <n v="2"/>
    <n v="4"/>
    <n v="2"/>
    <n v="13503"/>
    <n v="14115"/>
    <n v="1"/>
    <n v="22"/>
    <x v="1"/>
    <n v="4"/>
    <n v="80"/>
    <n v="1"/>
    <n v="22"/>
    <n v="2"/>
    <n v="22"/>
    <n v="3"/>
    <n v="11"/>
    <n v="11"/>
  </r>
  <r>
    <s v="No"/>
    <s v="Travel_Rarely"/>
    <x v="1"/>
    <s v="Current Employees"/>
    <x v="0"/>
    <x v="3"/>
    <s v="STAFF-120"/>
    <n v="120"/>
    <x v="1"/>
    <x v="0"/>
    <x v="0"/>
    <s v="Yes"/>
    <s v="Y"/>
    <n v="2"/>
    <n v="-2"/>
    <n v="0"/>
    <n v="51"/>
    <n v="0"/>
    <m/>
    <n v="0"/>
    <n v="1"/>
    <n v="632"/>
    <n v="21"/>
    <x v="2"/>
    <n v="1"/>
    <n v="3"/>
    <n v="71"/>
    <n v="3"/>
    <n v="2"/>
    <n v="4"/>
    <n v="5441"/>
    <n v="8423"/>
    <n v="0"/>
    <n v="22"/>
    <x v="1"/>
    <n v="4"/>
    <n v="80"/>
    <n v="0"/>
    <n v="11"/>
    <n v="1"/>
    <n v="10"/>
    <n v="7"/>
    <n v="1"/>
    <n v="0"/>
  </r>
  <r>
    <s v="No"/>
    <s v="Travel_Rarely"/>
    <x v="2"/>
    <s v="Current Employees"/>
    <x v="0"/>
    <x v="2"/>
    <s v="STAFF-121"/>
    <n v="121"/>
    <x v="0"/>
    <x v="0"/>
    <x v="2"/>
    <s v="Yes"/>
    <s v="Y"/>
    <n v="4"/>
    <n v="-2"/>
    <n v="0"/>
    <n v="30"/>
    <n v="0"/>
    <m/>
    <n v="0"/>
    <n v="1"/>
    <n v="1334"/>
    <n v="4"/>
    <x v="0"/>
    <n v="1"/>
    <n v="3"/>
    <n v="63"/>
    <n v="2"/>
    <n v="2"/>
    <n v="3"/>
    <n v="5209"/>
    <n v="19760"/>
    <n v="1"/>
    <n v="12"/>
    <x v="0"/>
    <n v="2"/>
    <n v="80"/>
    <n v="3"/>
    <n v="11"/>
    <n v="2"/>
    <n v="11"/>
    <n v="8"/>
    <n v="2"/>
    <n v="7"/>
  </r>
  <r>
    <s v="No"/>
    <s v="Travel_Frequently"/>
    <x v="1"/>
    <s v="Current Employees"/>
    <x v="1"/>
    <x v="2"/>
    <s v="STAFF-124"/>
    <n v="124"/>
    <x v="1"/>
    <x v="4"/>
    <x v="1"/>
    <s v="Yes"/>
    <s v="Y"/>
    <n v="5"/>
    <n v="-2"/>
    <n v="0"/>
    <n v="46"/>
    <n v="0"/>
    <m/>
    <n v="0"/>
    <n v="1"/>
    <n v="638"/>
    <n v="1"/>
    <x v="3"/>
    <n v="1"/>
    <n v="3"/>
    <n v="40"/>
    <n v="2"/>
    <n v="3"/>
    <n v="4"/>
    <n v="10673"/>
    <n v="3142"/>
    <n v="2"/>
    <n v="13"/>
    <x v="0"/>
    <n v="3"/>
    <n v="80"/>
    <n v="1"/>
    <n v="21"/>
    <n v="2"/>
    <n v="10"/>
    <n v="9"/>
    <n v="9"/>
    <n v="5"/>
  </r>
  <r>
    <s v="No"/>
    <s v="Travel_Rarely"/>
    <x v="2"/>
    <s v="Current Employees"/>
    <x v="0"/>
    <x v="2"/>
    <s v="STAFF-125"/>
    <n v="125"/>
    <x v="1"/>
    <x v="0"/>
    <x v="0"/>
    <s v="No"/>
    <s v="Y"/>
    <n v="0"/>
    <n v="-2"/>
    <n v="0"/>
    <n v="32"/>
    <n v="0"/>
    <m/>
    <n v="0"/>
    <n v="1"/>
    <n v="1093"/>
    <n v="6"/>
    <x v="2"/>
    <n v="1"/>
    <n v="2"/>
    <n v="87"/>
    <n v="3"/>
    <n v="2"/>
    <n v="3"/>
    <n v="5010"/>
    <n v="24301"/>
    <n v="1"/>
    <n v="16"/>
    <x v="0"/>
    <n v="1"/>
    <n v="80"/>
    <n v="0"/>
    <n v="12"/>
    <n v="3"/>
    <n v="11"/>
    <n v="8"/>
    <n v="5"/>
    <n v="7"/>
  </r>
  <r>
    <s v="No"/>
    <s v="Travel_Rarely"/>
    <x v="1"/>
    <s v="Current Employees"/>
    <x v="1"/>
    <x v="4"/>
    <s v="STAFF-126"/>
    <n v="126"/>
    <x v="0"/>
    <x v="7"/>
    <x v="1"/>
    <s v="No"/>
    <s v="Y"/>
    <n v="5"/>
    <n v="-2"/>
    <n v="0"/>
    <n v="54"/>
    <n v="0"/>
    <m/>
    <n v="0"/>
    <n v="1"/>
    <n v="1217"/>
    <n v="2"/>
    <x v="2"/>
    <n v="1"/>
    <n v="1"/>
    <n v="60"/>
    <n v="3"/>
    <n v="3"/>
    <n v="3"/>
    <n v="13549"/>
    <n v="24001"/>
    <n v="9"/>
    <n v="12"/>
    <x v="0"/>
    <n v="1"/>
    <n v="80"/>
    <n v="1"/>
    <n v="16"/>
    <n v="1"/>
    <n v="4"/>
    <n v="3"/>
    <n v="0"/>
    <n v="3"/>
  </r>
  <r>
    <s v="No"/>
    <s v="Travel_Rarely"/>
    <x v="4"/>
    <s v="Current Employees"/>
    <x v="0"/>
    <x v="1"/>
    <s v="STAFF-128"/>
    <n v="128"/>
    <x v="0"/>
    <x v="0"/>
    <x v="1"/>
    <s v="No"/>
    <s v="Y"/>
    <n v="2"/>
    <n v="-2"/>
    <n v="0"/>
    <n v="24"/>
    <n v="0"/>
    <m/>
    <n v="0"/>
    <n v="1"/>
    <n v="1353"/>
    <n v="3"/>
    <x v="0"/>
    <n v="1"/>
    <n v="1"/>
    <n v="33"/>
    <n v="3"/>
    <n v="2"/>
    <n v="3"/>
    <n v="4999"/>
    <n v="17519"/>
    <n v="0"/>
    <n v="21"/>
    <x v="1"/>
    <n v="1"/>
    <n v="80"/>
    <n v="1"/>
    <n v="4"/>
    <n v="2"/>
    <n v="3"/>
    <n v="2"/>
    <n v="0"/>
    <n v="2"/>
  </r>
  <r>
    <s v="No"/>
    <s v="Non-Travel"/>
    <x v="2"/>
    <s v="Current Employees"/>
    <x v="0"/>
    <x v="2"/>
    <s v="STAFF-129"/>
    <n v="129"/>
    <x v="1"/>
    <x v="0"/>
    <x v="1"/>
    <s v="No"/>
    <s v="Y"/>
    <n v="3"/>
    <n v="-2"/>
    <n v="0"/>
    <n v="28"/>
    <n v="0"/>
    <m/>
    <n v="0"/>
    <n v="1"/>
    <n v="120"/>
    <n v="4"/>
    <x v="3"/>
    <n v="1"/>
    <n v="2"/>
    <n v="43"/>
    <n v="3"/>
    <n v="2"/>
    <n v="3"/>
    <n v="4221"/>
    <n v="8863"/>
    <n v="1"/>
    <n v="15"/>
    <x v="0"/>
    <n v="2"/>
    <n v="80"/>
    <n v="0"/>
    <n v="5"/>
    <n v="4"/>
    <n v="5"/>
    <n v="4"/>
    <n v="0"/>
    <n v="4"/>
  </r>
  <r>
    <s v="No"/>
    <s v="Travel_Rarely"/>
    <x v="3"/>
    <s v="Current Employees"/>
    <x v="0"/>
    <x v="2"/>
    <s v="STAFF-131"/>
    <n v="131"/>
    <x v="1"/>
    <x v="0"/>
    <x v="0"/>
    <s v="No"/>
    <s v="Y"/>
    <n v="1"/>
    <n v="-2"/>
    <n v="0"/>
    <n v="58"/>
    <n v="0"/>
    <m/>
    <n v="0"/>
    <n v="1"/>
    <n v="682"/>
    <n v="10"/>
    <x v="2"/>
    <n v="1"/>
    <n v="4"/>
    <n v="37"/>
    <n v="3"/>
    <n v="4"/>
    <n v="3"/>
    <n v="13872"/>
    <n v="24409"/>
    <n v="0"/>
    <n v="13"/>
    <x v="0"/>
    <n v="3"/>
    <n v="80"/>
    <n v="0"/>
    <n v="38"/>
    <n v="2"/>
    <n v="37"/>
    <n v="10"/>
    <n v="1"/>
    <n v="8"/>
  </r>
  <r>
    <s v="No"/>
    <s v="Non-Travel"/>
    <x v="0"/>
    <s v="Current Employees"/>
    <x v="1"/>
    <x v="2"/>
    <s v="STAFF-132"/>
    <n v="132"/>
    <x v="1"/>
    <x v="2"/>
    <x v="1"/>
    <s v="No"/>
    <s v="Y"/>
    <n v="3"/>
    <n v="-2"/>
    <n v="0"/>
    <n v="44"/>
    <n v="0"/>
    <m/>
    <n v="0"/>
    <n v="1"/>
    <n v="489"/>
    <n v="23"/>
    <x v="3"/>
    <n v="1"/>
    <n v="2"/>
    <n v="67"/>
    <n v="3"/>
    <n v="2"/>
    <n v="3"/>
    <n v="2042"/>
    <n v="25043"/>
    <n v="4"/>
    <n v="12"/>
    <x v="0"/>
    <n v="3"/>
    <n v="80"/>
    <n v="1"/>
    <n v="17"/>
    <n v="4"/>
    <n v="3"/>
    <n v="2"/>
    <n v="1"/>
    <n v="2"/>
  </r>
  <r>
    <s v="Yes"/>
    <s v="Travel_Rarely"/>
    <x v="0"/>
    <s v="Ex-Employees"/>
    <x v="2"/>
    <x v="5"/>
    <s v="STAFF-133"/>
    <n v="133"/>
    <x v="1"/>
    <x v="8"/>
    <x v="2"/>
    <s v="Yes"/>
    <s v="Y"/>
    <n v="3"/>
    <n v="-2"/>
    <n v="0"/>
    <n v="37"/>
    <n v="1"/>
    <n v="1"/>
    <n v="1"/>
    <n v="0"/>
    <n v="807"/>
    <n v="6"/>
    <x v="2"/>
    <n v="1"/>
    <n v="3"/>
    <n v="63"/>
    <n v="3"/>
    <n v="1"/>
    <n v="4"/>
    <n v="2073"/>
    <n v="23648"/>
    <n v="4"/>
    <n v="22"/>
    <x v="1"/>
    <n v="4"/>
    <n v="80"/>
    <n v="0"/>
    <n v="7"/>
    <n v="3"/>
    <n v="3"/>
    <n v="2"/>
    <n v="0"/>
    <n v="2"/>
  </r>
  <r>
    <s v="No"/>
    <s v="Travel_Rarely"/>
    <x v="2"/>
    <s v="Current Employees"/>
    <x v="1"/>
    <x v="0"/>
    <s v="STAFF-134"/>
    <n v="134"/>
    <x v="1"/>
    <x v="1"/>
    <x v="0"/>
    <s v="No"/>
    <s v="Y"/>
    <n v="2"/>
    <n v="-2"/>
    <n v="0"/>
    <n v="32"/>
    <n v="0"/>
    <m/>
    <n v="0"/>
    <n v="1"/>
    <n v="827"/>
    <n v="1"/>
    <x v="1"/>
    <n v="1"/>
    <n v="4"/>
    <n v="71"/>
    <n v="3"/>
    <n v="1"/>
    <n v="2"/>
    <n v="2956"/>
    <n v="15178"/>
    <n v="1"/>
    <n v="13"/>
    <x v="0"/>
    <n v="4"/>
    <n v="80"/>
    <n v="0"/>
    <n v="1"/>
    <n v="3"/>
    <n v="1"/>
    <n v="0"/>
    <n v="0"/>
    <n v="0"/>
  </r>
  <r>
    <s v="Yes"/>
    <s v="Travel_Frequently"/>
    <x v="4"/>
    <s v="Ex-Employees"/>
    <x v="1"/>
    <x v="0"/>
    <s v="STAFF-137"/>
    <n v="137"/>
    <x v="0"/>
    <x v="2"/>
    <x v="0"/>
    <s v="Yes"/>
    <s v="Y"/>
    <n v="5"/>
    <n v="-2"/>
    <n v="0"/>
    <n v="20"/>
    <n v="1"/>
    <n v="1"/>
    <n v="1"/>
    <n v="0"/>
    <n v="871"/>
    <n v="6"/>
    <x v="3"/>
    <n v="1"/>
    <n v="4"/>
    <n v="66"/>
    <n v="2"/>
    <n v="1"/>
    <n v="2"/>
    <n v="2926"/>
    <n v="19783"/>
    <n v="1"/>
    <n v="18"/>
    <x v="0"/>
    <n v="2"/>
    <n v="80"/>
    <n v="0"/>
    <n v="1"/>
    <n v="3"/>
    <n v="1"/>
    <n v="0"/>
    <n v="1"/>
    <n v="0"/>
  </r>
  <r>
    <s v="No"/>
    <s v="Travel_Rarely"/>
    <x v="2"/>
    <s v="Current Employees"/>
    <x v="1"/>
    <x v="1"/>
    <s v="STAFF-138"/>
    <n v="138"/>
    <x v="0"/>
    <x v="1"/>
    <x v="0"/>
    <s v="No"/>
    <s v="Y"/>
    <n v="3"/>
    <n v="-2"/>
    <n v="0"/>
    <n v="34"/>
    <n v="0"/>
    <m/>
    <n v="0"/>
    <n v="1"/>
    <n v="665"/>
    <n v="6"/>
    <x v="2"/>
    <n v="1"/>
    <n v="1"/>
    <n v="41"/>
    <n v="3"/>
    <n v="2"/>
    <n v="3"/>
    <n v="4809"/>
    <n v="12482"/>
    <n v="1"/>
    <n v="14"/>
    <x v="0"/>
    <n v="3"/>
    <n v="80"/>
    <n v="0"/>
    <n v="16"/>
    <n v="3"/>
    <n v="16"/>
    <n v="13"/>
    <n v="2"/>
    <n v="10"/>
  </r>
  <r>
    <s v="No"/>
    <s v="Non-Travel"/>
    <x v="0"/>
    <s v="Current Employees"/>
    <x v="1"/>
    <x v="0"/>
    <s v="STAFF-139"/>
    <n v="139"/>
    <x v="1"/>
    <x v="4"/>
    <x v="2"/>
    <s v="No"/>
    <s v="Y"/>
    <n v="2"/>
    <n v="-2"/>
    <n v="0"/>
    <n v="37"/>
    <n v="0"/>
    <m/>
    <n v="0"/>
    <n v="1"/>
    <n v="1040"/>
    <n v="2"/>
    <x v="0"/>
    <n v="1"/>
    <n v="3"/>
    <n v="100"/>
    <n v="2"/>
    <n v="2"/>
    <n v="2"/>
    <n v="5163"/>
    <n v="15850"/>
    <n v="5"/>
    <n v="14"/>
    <x v="0"/>
    <n v="4"/>
    <n v="80"/>
    <n v="1"/>
    <n v="17"/>
    <n v="4"/>
    <n v="1"/>
    <n v="0"/>
    <n v="0"/>
    <n v="0"/>
  </r>
  <r>
    <s v="No"/>
    <s v="Non-Travel"/>
    <x v="3"/>
    <s v="Current Employees"/>
    <x v="2"/>
    <x v="5"/>
    <s v="STAFF-140"/>
    <n v="140"/>
    <x v="0"/>
    <x v="5"/>
    <x v="1"/>
    <s v="No"/>
    <s v="Y"/>
    <n v="3"/>
    <n v="-2"/>
    <n v="0"/>
    <n v="59"/>
    <n v="0"/>
    <m/>
    <n v="0"/>
    <n v="1"/>
    <n v="1420"/>
    <n v="2"/>
    <x v="2"/>
    <n v="1"/>
    <n v="3"/>
    <n v="32"/>
    <n v="2"/>
    <n v="5"/>
    <n v="4"/>
    <n v="18844"/>
    <n v="21922"/>
    <n v="9"/>
    <n v="21"/>
    <x v="1"/>
    <n v="4"/>
    <n v="80"/>
    <n v="1"/>
    <n v="30"/>
    <n v="3"/>
    <n v="3"/>
    <n v="2"/>
    <n v="2"/>
    <n v="2"/>
  </r>
  <r>
    <s v="No"/>
    <s v="Travel_Frequently"/>
    <x v="1"/>
    <s v="Current Employees"/>
    <x v="1"/>
    <x v="0"/>
    <s v="STAFF-141"/>
    <n v="141"/>
    <x v="0"/>
    <x v="7"/>
    <x v="1"/>
    <s v="Yes"/>
    <s v="Y"/>
    <n v="1"/>
    <n v="-2"/>
    <n v="0"/>
    <n v="50"/>
    <n v="0"/>
    <m/>
    <n v="0"/>
    <n v="1"/>
    <n v="1115"/>
    <n v="1"/>
    <x v="3"/>
    <n v="1"/>
    <n v="1"/>
    <n v="73"/>
    <n v="3"/>
    <n v="5"/>
    <n v="2"/>
    <n v="18172"/>
    <n v="9755"/>
    <n v="3"/>
    <n v="19"/>
    <x v="0"/>
    <n v="1"/>
    <n v="80"/>
    <n v="0"/>
    <n v="28"/>
    <n v="2"/>
    <n v="8"/>
    <n v="3"/>
    <n v="0"/>
    <n v="7"/>
  </r>
  <r>
    <s v="Yes"/>
    <s v="Travel_Rarely"/>
    <x v="2"/>
    <s v="Ex-Employees"/>
    <x v="0"/>
    <x v="3"/>
    <s v="STAFF-142"/>
    <n v="142"/>
    <x v="1"/>
    <x v="0"/>
    <x v="0"/>
    <s v="Yes"/>
    <s v="Y"/>
    <n v="1"/>
    <n v="-2"/>
    <n v="0"/>
    <n v="25"/>
    <n v="1"/>
    <n v="1"/>
    <n v="1"/>
    <n v="0"/>
    <n v="240"/>
    <n v="5"/>
    <x v="3"/>
    <n v="1"/>
    <n v="3"/>
    <n v="46"/>
    <n v="2"/>
    <n v="2"/>
    <n v="3"/>
    <n v="5744"/>
    <n v="26959"/>
    <n v="1"/>
    <n v="11"/>
    <x v="0"/>
    <n v="4"/>
    <n v="80"/>
    <n v="0"/>
    <n v="6"/>
    <n v="3"/>
    <n v="6"/>
    <n v="4"/>
    <n v="0"/>
    <n v="3"/>
  </r>
  <r>
    <s v="No"/>
    <s v="Travel_Rarely"/>
    <x v="2"/>
    <s v="Current Employees"/>
    <x v="1"/>
    <x v="2"/>
    <s v="STAFF-143"/>
    <n v="143"/>
    <x v="1"/>
    <x v="1"/>
    <x v="1"/>
    <s v="No"/>
    <s v="Y"/>
    <n v="2"/>
    <n v="-2"/>
    <n v="0"/>
    <n v="25"/>
    <n v="0"/>
    <m/>
    <n v="0"/>
    <n v="1"/>
    <n v="1280"/>
    <n v="7"/>
    <x v="1"/>
    <n v="1"/>
    <n v="4"/>
    <n v="64"/>
    <n v="2"/>
    <n v="1"/>
    <n v="4"/>
    <n v="2889"/>
    <n v="26897"/>
    <n v="1"/>
    <n v="11"/>
    <x v="0"/>
    <n v="3"/>
    <n v="80"/>
    <n v="2"/>
    <n v="2"/>
    <n v="3"/>
    <n v="2"/>
    <n v="2"/>
    <n v="2"/>
    <n v="1"/>
  </r>
  <r>
    <s v="No"/>
    <s v="Travel_Rarely"/>
    <x v="4"/>
    <s v="Current Employees"/>
    <x v="1"/>
    <x v="2"/>
    <s v="STAFF-144"/>
    <n v="144"/>
    <x v="0"/>
    <x v="2"/>
    <x v="0"/>
    <s v="No"/>
    <s v="Y"/>
    <n v="5"/>
    <n v="-2"/>
    <n v="0"/>
    <n v="22"/>
    <n v="0"/>
    <m/>
    <n v="0"/>
    <n v="1"/>
    <n v="534"/>
    <n v="15"/>
    <x v="3"/>
    <n v="1"/>
    <n v="2"/>
    <n v="59"/>
    <n v="3"/>
    <n v="1"/>
    <n v="4"/>
    <n v="2871"/>
    <n v="23785"/>
    <n v="1"/>
    <n v="15"/>
    <x v="0"/>
    <n v="3"/>
    <n v="80"/>
    <n v="0"/>
    <n v="1"/>
    <n v="3"/>
    <n v="0"/>
    <n v="0"/>
    <n v="0"/>
    <n v="0"/>
  </r>
  <r>
    <s v="No"/>
    <s v="Travel_Frequently"/>
    <x v="1"/>
    <s v="Current Employees"/>
    <x v="1"/>
    <x v="2"/>
    <s v="STAFF-145"/>
    <n v="145"/>
    <x v="0"/>
    <x v="4"/>
    <x v="0"/>
    <s v="No"/>
    <s v="Y"/>
    <n v="1"/>
    <n v="-2"/>
    <n v="0"/>
    <n v="51"/>
    <n v="0"/>
    <m/>
    <n v="0"/>
    <n v="1"/>
    <n v="1456"/>
    <n v="1"/>
    <x v="2"/>
    <n v="1"/>
    <n v="1"/>
    <n v="30"/>
    <n v="2"/>
    <n v="3"/>
    <n v="4"/>
    <n v="7484"/>
    <n v="25796"/>
    <n v="3"/>
    <n v="20"/>
    <x v="1"/>
    <n v="3"/>
    <n v="80"/>
    <n v="0"/>
    <n v="23"/>
    <n v="2"/>
    <n v="13"/>
    <n v="12"/>
    <n v="12"/>
    <n v="8"/>
  </r>
  <r>
    <s v="Yes"/>
    <s v="Travel_Frequently"/>
    <x v="2"/>
    <s v="Ex-Employees"/>
    <x v="1"/>
    <x v="0"/>
    <s v="STAFF-147"/>
    <n v="147"/>
    <x v="1"/>
    <x v="2"/>
    <x v="0"/>
    <s v="Yes"/>
    <s v="Y"/>
    <n v="3"/>
    <n v="-2"/>
    <n v="0"/>
    <n v="34"/>
    <n v="1"/>
    <n v="1"/>
    <n v="1"/>
    <n v="0"/>
    <n v="658"/>
    <n v="7"/>
    <x v="3"/>
    <n v="1"/>
    <n v="1"/>
    <n v="66"/>
    <n v="1"/>
    <n v="2"/>
    <n v="2"/>
    <n v="6074"/>
    <n v="22887"/>
    <n v="1"/>
    <n v="24"/>
    <x v="1"/>
    <n v="4"/>
    <n v="80"/>
    <n v="0"/>
    <n v="9"/>
    <n v="3"/>
    <n v="9"/>
    <n v="7"/>
    <n v="0"/>
    <n v="6"/>
  </r>
  <r>
    <s v="No"/>
    <s v="Non-Travel"/>
    <x v="1"/>
    <s v="Current Employees"/>
    <x v="2"/>
    <x v="5"/>
    <s v="STAFF-148"/>
    <n v="148"/>
    <x v="0"/>
    <x v="5"/>
    <x v="0"/>
    <s v="Yes"/>
    <s v="Y"/>
    <n v="3"/>
    <n v="-2"/>
    <n v="0"/>
    <n v="54"/>
    <n v="0"/>
    <m/>
    <n v="0"/>
    <n v="1"/>
    <n v="142"/>
    <n v="26"/>
    <x v="3"/>
    <n v="1"/>
    <n v="4"/>
    <n v="30"/>
    <n v="4"/>
    <n v="4"/>
    <n v="4"/>
    <n v="17328"/>
    <n v="13871"/>
    <n v="2"/>
    <n v="12"/>
    <x v="0"/>
    <n v="3"/>
    <n v="80"/>
    <n v="0"/>
    <n v="23"/>
    <n v="3"/>
    <n v="5"/>
    <n v="3"/>
    <n v="4"/>
    <n v="4"/>
  </r>
  <r>
    <s v="No"/>
    <s v="Travel_Rarely"/>
    <x v="4"/>
    <s v="Current Employees"/>
    <x v="1"/>
    <x v="0"/>
    <s v="STAFF-150"/>
    <n v="150"/>
    <x v="1"/>
    <x v="2"/>
    <x v="1"/>
    <s v="No"/>
    <s v="Y"/>
    <n v="2"/>
    <n v="-2"/>
    <n v="0"/>
    <n v="24"/>
    <n v="0"/>
    <m/>
    <n v="0"/>
    <n v="1"/>
    <n v="1127"/>
    <n v="18"/>
    <x v="1"/>
    <n v="1"/>
    <n v="2"/>
    <n v="52"/>
    <n v="3"/>
    <n v="1"/>
    <n v="2"/>
    <n v="2774"/>
    <n v="13257"/>
    <n v="0"/>
    <n v="12"/>
    <x v="0"/>
    <n v="3"/>
    <n v="80"/>
    <n v="1"/>
    <n v="6"/>
    <n v="3"/>
    <n v="5"/>
    <n v="3"/>
    <n v="1"/>
    <n v="2"/>
  </r>
  <r>
    <s v="No"/>
    <s v="Travel_Rarely"/>
    <x v="2"/>
    <s v="Current Employees"/>
    <x v="1"/>
    <x v="0"/>
    <s v="STAFF-151"/>
    <n v="151"/>
    <x v="0"/>
    <x v="1"/>
    <x v="2"/>
    <s v="No"/>
    <s v="Y"/>
    <n v="3"/>
    <n v="-2"/>
    <n v="0"/>
    <n v="34"/>
    <n v="0"/>
    <m/>
    <n v="0"/>
    <n v="1"/>
    <n v="1031"/>
    <n v="6"/>
    <x v="2"/>
    <n v="1"/>
    <n v="3"/>
    <n v="45"/>
    <n v="2"/>
    <n v="2"/>
    <n v="2"/>
    <n v="4505"/>
    <n v="15000"/>
    <n v="6"/>
    <n v="15"/>
    <x v="0"/>
    <n v="3"/>
    <n v="80"/>
    <n v="1"/>
    <n v="12"/>
    <n v="3"/>
    <n v="1"/>
    <n v="0"/>
    <n v="0"/>
    <n v="0"/>
  </r>
  <r>
    <s v="No"/>
    <s v="Travel_Rarely"/>
    <x v="0"/>
    <s v="Current Employees"/>
    <x v="0"/>
    <x v="0"/>
    <s v="STAFF-152"/>
    <n v="152"/>
    <x v="1"/>
    <x v="0"/>
    <x v="0"/>
    <s v="No"/>
    <s v="Y"/>
    <n v="3"/>
    <n v="-2"/>
    <n v="0"/>
    <n v="37"/>
    <n v="0"/>
    <m/>
    <n v="0"/>
    <n v="1"/>
    <n v="1189"/>
    <n v="3"/>
    <x v="3"/>
    <n v="1"/>
    <n v="3"/>
    <n v="87"/>
    <n v="3"/>
    <n v="3"/>
    <n v="2"/>
    <n v="7428"/>
    <n v="14506"/>
    <n v="2"/>
    <n v="12"/>
    <x v="0"/>
    <n v="1"/>
    <n v="80"/>
    <n v="0"/>
    <n v="12"/>
    <n v="3"/>
    <n v="5"/>
    <n v="3"/>
    <n v="1"/>
    <n v="3"/>
  </r>
  <r>
    <s v="No"/>
    <s v="Travel_Rarely"/>
    <x v="2"/>
    <s v="Current Employees"/>
    <x v="1"/>
    <x v="2"/>
    <s v="STAFF-153"/>
    <n v="153"/>
    <x v="0"/>
    <x v="5"/>
    <x v="0"/>
    <s v="No"/>
    <s v="Y"/>
    <n v="6"/>
    <n v="-2"/>
    <n v="0"/>
    <n v="34"/>
    <n v="0"/>
    <m/>
    <n v="0"/>
    <n v="1"/>
    <n v="1354"/>
    <n v="5"/>
    <x v="3"/>
    <n v="1"/>
    <n v="3"/>
    <n v="45"/>
    <n v="2"/>
    <n v="3"/>
    <n v="4"/>
    <n v="11631"/>
    <n v="5615"/>
    <n v="2"/>
    <n v="12"/>
    <x v="0"/>
    <n v="4"/>
    <n v="80"/>
    <n v="0"/>
    <n v="14"/>
    <n v="3"/>
    <n v="11"/>
    <n v="10"/>
    <n v="5"/>
    <n v="8"/>
  </r>
  <r>
    <s v="No"/>
    <s v="Travel_Frequently"/>
    <x v="0"/>
    <s v="Current Employees"/>
    <x v="0"/>
    <x v="4"/>
    <s v="STAFF-154"/>
    <n v="154"/>
    <x v="0"/>
    <x v="0"/>
    <x v="1"/>
    <s v="No"/>
    <s v="Y"/>
    <n v="6"/>
    <n v="-2"/>
    <n v="0"/>
    <n v="36"/>
    <n v="0"/>
    <m/>
    <n v="0"/>
    <n v="1"/>
    <n v="1467"/>
    <n v="11"/>
    <x v="0"/>
    <n v="1"/>
    <n v="2"/>
    <n v="92"/>
    <n v="3"/>
    <n v="3"/>
    <n v="4"/>
    <n v="9738"/>
    <n v="22952"/>
    <n v="0"/>
    <n v="14"/>
    <x v="0"/>
    <n v="3"/>
    <n v="80"/>
    <n v="1"/>
    <n v="10"/>
    <n v="3"/>
    <n v="9"/>
    <n v="7"/>
    <n v="2"/>
    <n v="8"/>
  </r>
  <r>
    <s v="No"/>
    <s v="Travel_Rarely"/>
    <x v="0"/>
    <s v="Current Employees"/>
    <x v="1"/>
    <x v="0"/>
    <s v="STAFF-155"/>
    <n v="155"/>
    <x v="0"/>
    <x v="2"/>
    <x v="2"/>
    <s v="No"/>
    <s v="Y"/>
    <n v="2"/>
    <n v="-2"/>
    <n v="0"/>
    <n v="36"/>
    <n v="0"/>
    <m/>
    <n v="0"/>
    <n v="1"/>
    <n v="922"/>
    <n v="3"/>
    <x v="0"/>
    <n v="1"/>
    <n v="1"/>
    <n v="39"/>
    <n v="3"/>
    <n v="1"/>
    <n v="2"/>
    <n v="2835"/>
    <n v="2561"/>
    <n v="5"/>
    <n v="22"/>
    <x v="1"/>
    <n v="1"/>
    <n v="80"/>
    <n v="1"/>
    <n v="7"/>
    <n v="3"/>
    <n v="1"/>
    <n v="0"/>
    <n v="0"/>
    <n v="0"/>
  </r>
  <r>
    <s v="No"/>
    <s v="Travel_Frequently"/>
    <x v="0"/>
    <s v="Current Employees"/>
    <x v="0"/>
    <x v="0"/>
    <s v="STAFF-158"/>
    <n v="158"/>
    <x v="1"/>
    <x v="5"/>
    <x v="1"/>
    <s v="Yes"/>
    <s v="Y"/>
    <n v="3"/>
    <n v="-2"/>
    <n v="0"/>
    <n v="43"/>
    <n v="0"/>
    <m/>
    <n v="0"/>
    <n v="1"/>
    <n v="394"/>
    <n v="26"/>
    <x v="0"/>
    <n v="1"/>
    <n v="3"/>
    <n v="92"/>
    <n v="3"/>
    <n v="4"/>
    <n v="2"/>
    <n v="16959"/>
    <n v="19494"/>
    <n v="1"/>
    <n v="12"/>
    <x v="0"/>
    <n v="4"/>
    <n v="80"/>
    <n v="2"/>
    <n v="25"/>
    <n v="4"/>
    <n v="25"/>
    <n v="12"/>
    <n v="4"/>
    <n v="12"/>
  </r>
  <r>
    <s v="No"/>
    <s v="Travel_Frequently"/>
    <x v="2"/>
    <s v="Current Employees"/>
    <x v="1"/>
    <x v="0"/>
    <s v="STAFF-159"/>
    <n v="159"/>
    <x v="1"/>
    <x v="1"/>
    <x v="2"/>
    <s v="No"/>
    <s v="Y"/>
    <n v="2"/>
    <n v="-2"/>
    <n v="0"/>
    <n v="30"/>
    <n v="0"/>
    <m/>
    <n v="0"/>
    <n v="1"/>
    <n v="1312"/>
    <n v="23"/>
    <x v="3"/>
    <n v="1"/>
    <n v="1"/>
    <n v="96"/>
    <n v="1"/>
    <n v="1"/>
    <n v="2"/>
    <n v="2613"/>
    <n v="22310"/>
    <n v="1"/>
    <n v="25"/>
    <x v="1"/>
    <n v="3"/>
    <n v="80"/>
    <n v="3"/>
    <n v="10"/>
    <n v="2"/>
    <n v="10"/>
    <n v="7"/>
    <n v="0"/>
    <n v="9"/>
  </r>
  <r>
    <s v="No"/>
    <s v="Non-Travel"/>
    <x v="2"/>
    <s v="Current Employees"/>
    <x v="0"/>
    <x v="3"/>
    <s v="STAFF-160"/>
    <n v="160"/>
    <x v="1"/>
    <x v="0"/>
    <x v="1"/>
    <s v="No"/>
    <s v="Y"/>
    <n v="2"/>
    <n v="-2"/>
    <n v="0"/>
    <n v="33"/>
    <n v="0"/>
    <m/>
    <n v="0"/>
    <n v="1"/>
    <n v="750"/>
    <n v="22"/>
    <x v="0"/>
    <n v="1"/>
    <n v="3"/>
    <n v="95"/>
    <n v="3"/>
    <n v="2"/>
    <n v="3"/>
    <n v="6146"/>
    <n v="15480"/>
    <n v="0"/>
    <n v="13"/>
    <x v="0"/>
    <n v="1"/>
    <n v="80"/>
    <n v="1"/>
    <n v="8"/>
    <n v="4"/>
    <n v="7"/>
    <n v="7"/>
    <n v="0"/>
    <n v="7"/>
  </r>
  <r>
    <s v="Yes"/>
    <s v="Travel_Rarely"/>
    <x v="3"/>
    <s v="Ex-Employees"/>
    <x v="1"/>
    <x v="0"/>
    <s v="STAFF-161"/>
    <n v="161"/>
    <x v="0"/>
    <x v="1"/>
    <x v="1"/>
    <s v="Yes"/>
    <s v="Y"/>
    <n v="2"/>
    <n v="-2"/>
    <n v="0"/>
    <n v="56"/>
    <n v="1"/>
    <n v="1"/>
    <n v="1"/>
    <n v="0"/>
    <n v="441"/>
    <n v="14"/>
    <x v="2"/>
    <n v="1"/>
    <n v="2"/>
    <n v="72"/>
    <n v="3"/>
    <n v="1"/>
    <n v="2"/>
    <n v="4963"/>
    <n v="4510"/>
    <n v="9"/>
    <n v="18"/>
    <x v="0"/>
    <n v="1"/>
    <n v="80"/>
    <n v="3"/>
    <n v="7"/>
    <n v="3"/>
    <n v="5"/>
    <n v="4"/>
    <n v="4"/>
    <n v="3"/>
  </r>
  <r>
    <s v="No"/>
    <s v="Travel_Rarely"/>
    <x v="1"/>
    <s v="Current Employees"/>
    <x v="1"/>
    <x v="0"/>
    <s v="STAFF-162"/>
    <n v="162"/>
    <x v="1"/>
    <x v="7"/>
    <x v="0"/>
    <s v="No"/>
    <s v="Y"/>
    <n v="5"/>
    <n v="-2"/>
    <n v="0"/>
    <n v="51"/>
    <n v="0"/>
    <m/>
    <n v="0"/>
    <n v="1"/>
    <n v="684"/>
    <n v="6"/>
    <x v="3"/>
    <n v="1"/>
    <n v="1"/>
    <n v="51"/>
    <n v="3"/>
    <n v="5"/>
    <n v="2"/>
    <n v="19537"/>
    <n v="6462"/>
    <n v="7"/>
    <n v="13"/>
    <x v="0"/>
    <n v="3"/>
    <n v="80"/>
    <n v="0"/>
    <n v="23"/>
    <n v="3"/>
    <n v="20"/>
    <n v="18"/>
    <n v="15"/>
    <n v="15"/>
  </r>
  <r>
    <s v="Yes"/>
    <s v="Travel_Rarely"/>
    <x v="2"/>
    <s v="Ex-Employees"/>
    <x v="0"/>
    <x v="0"/>
    <s v="STAFF-163"/>
    <n v="163"/>
    <x v="1"/>
    <x v="0"/>
    <x v="1"/>
    <s v="Yes"/>
    <s v="Y"/>
    <n v="3"/>
    <n v="-2"/>
    <n v="0"/>
    <n v="31"/>
    <n v="1"/>
    <n v="1"/>
    <n v="1"/>
    <n v="0"/>
    <n v="249"/>
    <n v="6"/>
    <x v="2"/>
    <n v="1"/>
    <n v="2"/>
    <n v="76"/>
    <n v="1"/>
    <n v="2"/>
    <n v="2"/>
    <n v="6172"/>
    <n v="20739"/>
    <n v="4"/>
    <n v="18"/>
    <x v="0"/>
    <n v="2"/>
    <n v="80"/>
    <n v="0"/>
    <n v="12"/>
    <n v="2"/>
    <n v="7"/>
    <n v="7"/>
    <n v="7"/>
    <n v="7"/>
  </r>
  <r>
    <s v="No"/>
    <s v="Travel_Rarely"/>
    <x v="2"/>
    <s v="Current Employees"/>
    <x v="1"/>
    <x v="1"/>
    <s v="STAFF-164"/>
    <n v="164"/>
    <x v="0"/>
    <x v="1"/>
    <x v="1"/>
    <s v="No"/>
    <s v="Y"/>
    <n v="3"/>
    <n v="-2"/>
    <n v="0"/>
    <n v="26"/>
    <n v="0"/>
    <m/>
    <n v="0"/>
    <n v="1"/>
    <n v="841"/>
    <n v="6"/>
    <x v="3"/>
    <n v="1"/>
    <n v="3"/>
    <n v="46"/>
    <n v="2"/>
    <n v="1"/>
    <n v="3"/>
    <n v="2368"/>
    <n v="23300"/>
    <n v="1"/>
    <n v="19"/>
    <x v="0"/>
    <n v="3"/>
    <n v="80"/>
    <n v="0"/>
    <n v="5"/>
    <n v="2"/>
    <n v="5"/>
    <n v="4"/>
    <n v="4"/>
    <n v="3"/>
  </r>
  <r>
    <s v="Yes"/>
    <s v="Travel_Rarely"/>
    <x v="3"/>
    <s v="Ex-Employees"/>
    <x v="1"/>
    <x v="2"/>
    <s v="STAFF-165"/>
    <n v="165"/>
    <x v="0"/>
    <x v="4"/>
    <x v="1"/>
    <s v="No"/>
    <s v="Y"/>
    <n v="3"/>
    <n v="-2"/>
    <n v="0"/>
    <n v="58"/>
    <n v="1"/>
    <n v="1"/>
    <n v="1"/>
    <n v="0"/>
    <n v="147"/>
    <n v="23"/>
    <x v="2"/>
    <n v="1"/>
    <n v="4"/>
    <n v="94"/>
    <n v="3"/>
    <n v="3"/>
    <n v="4"/>
    <n v="10312"/>
    <n v="3465"/>
    <n v="1"/>
    <n v="12"/>
    <x v="0"/>
    <n v="4"/>
    <n v="80"/>
    <n v="1"/>
    <n v="40"/>
    <n v="2"/>
    <n v="40"/>
    <n v="10"/>
    <n v="15"/>
    <n v="6"/>
  </r>
  <r>
    <s v="Yes"/>
    <s v="Travel_Rarely"/>
    <x v="4"/>
    <s v="Ex-Employees"/>
    <x v="0"/>
    <x v="3"/>
    <s v="STAFF-167"/>
    <n v="167"/>
    <x v="1"/>
    <x v="6"/>
    <x v="0"/>
    <s v="Yes"/>
    <s v="Y"/>
    <n v="2"/>
    <n v="-2"/>
    <n v="0"/>
    <n v="19"/>
    <n v="1"/>
    <n v="1"/>
    <n v="1"/>
    <n v="0"/>
    <n v="528"/>
    <n v="22"/>
    <x v="1"/>
    <n v="1"/>
    <n v="4"/>
    <n v="50"/>
    <n v="3"/>
    <n v="1"/>
    <n v="3"/>
    <n v="1675"/>
    <n v="26820"/>
    <n v="1"/>
    <n v="19"/>
    <x v="0"/>
    <n v="4"/>
    <n v="80"/>
    <n v="0"/>
    <n v="0"/>
    <n v="2"/>
    <n v="0"/>
    <n v="0"/>
    <n v="0"/>
    <n v="0"/>
  </r>
  <r>
    <s v="No"/>
    <s v="Travel_Rarely"/>
    <x v="4"/>
    <s v="Current Employees"/>
    <x v="1"/>
    <x v="4"/>
    <s v="STAFF-169"/>
    <n v="169"/>
    <x v="1"/>
    <x v="2"/>
    <x v="1"/>
    <s v="No"/>
    <s v="Y"/>
    <n v="2"/>
    <n v="-2"/>
    <n v="0"/>
    <n v="22"/>
    <n v="0"/>
    <m/>
    <n v="0"/>
    <n v="1"/>
    <n v="594"/>
    <n v="2"/>
    <x v="1"/>
    <n v="1"/>
    <n v="3"/>
    <n v="100"/>
    <n v="3"/>
    <n v="1"/>
    <n v="4"/>
    <n v="2523"/>
    <n v="19299"/>
    <n v="0"/>
    <n v="14"/>
    <x v="0"/>
    <n v="3"/>
    <n v="80"/>
    <n v="1"/>
    <n v="3"/>
    <n v="3"/>
    <n v="2"/>
    <n v="1"/>
    <n v="2"/>
    <n v="1"/>
  </r>
  <r>
    <s v="No"/>
    <s v="Travel_Rarely"/>
    <x v="1"/>
    <s v="Current Employees"/>
    <x v="1"/>
    <x v="2"/>
    <s v="STAFF-170"/>
    <n v="170"/>
    <x v="0"/>
    <x v="3"/>
    <x v="1"/>
    <s v="No"/>
    <s v="Y"/>
    <n v="2"/>
    <n v="-2"/>
    <n v="0"/>
    <n v="49"/>
    <n v="0"/>
    <m/>
    <n v="0"/>
    <n v="1"/>
    <n v="470"/>
    <n v="20"/>
    <x v="2"/>
    <n v="1"/>
    <n v="3"/>
    <n v="96"/>
    <n v="3"/>
    <n v="2"/>
    <n v="1"/>
    <n v="6567"/>
    <n v="5549"/>
    <n v="1"/>
    <n v="14"/>
    <x v="0"/>
    <n v="3"/>
    <n v="80"/>
    <n v="0"/>
    <n v="16"/>
    <n v="2"/>
    <n v="15"/>
    <n v="11"/>
    <n v="5"/>
    <n v="11"/>
  </r>
  <r>
    <s v="No"/>
    <s v="Travel_Frequently"/>
    <x v="0"/>
    <s v="Current Employees"/>
    <x v="1"/>
    <x v="2"/>
    <s v="STAFF-171"/>
    <n v="171"/>
    <x v="0"/>
    <x v="1"/>
    <x v="0"/>
    <s v="No"/>
    <s v="Y"/>
    <n v="2"/>
    <n v="-2"/>
    <n v="0"/>
    <n v="43"/>
    <n v="0"/>
    <m/>
    <n v="0"/>
    <n v="1"/>
    <n v="957"/>
    <n v="28"/>
    <x v="3"/>
    <n v="1"/>
    <n v="2"/>
    <n v="72"/>
    <n v="4"/>
    <n v="1"/>
    <n v="3"/>
    <n v="4739"/>
    <n v="16090"/>
    <n v="4"/>
    <n v="12"/>
    <x v="0"/>
    <n v="4"/>
    <n v="80"/>
    <n v="0"/>
    <n v="18"/>
    <n v="3"/>
    <n v="3"/>
    <n v="2"/>
    <n v="1"/>
    <n v="2"/>
  </r>
  <r>
    <s v="No"/>
    <s v="Travel_Frequently"/>
    <x v="1"/>
    <s v="Current Employees"/>
    <x v="0"/>
    <x v="3"/>
    <s v="STAFF-174"/>
    <n v="174"/>
    <x v="0"/>
    <x v="0"/>
    <x v="0"/>
    <s v="No"/>
    <s v="Y"/>
    <n v="3"/>
    <n v="-2"/>
    <n v="0"/>
    <n v="50"/>
    <n v="0"/>
    <m/>
    <n v="0"/>
    <n v="1"/>
    <n v="809"/>
    <n v="12"/>
    <x v="3"/>
    <n v="1"/>
    <n v="3"/>
    <n v="77"/>
    <n v="3"/>
    <n v="3"/>
    <n v="4"/>
    <n v="9208"/>
    <n v="6645"/>
    <n v="4"/>
    <n v="11"/>
    <x v="0"/>
    <n v="4"/>
    <n v="80"/>
    <n v="0"/>
    <n v="16"/>
    <n v="3"/>
    <n v="2"/>
    <n v="2"/>
    <n v="2"/>
    <n v="1"/>
  </r>
  <r>
    <s v="Yes"/>
    <s v="Travel_Rarely"/>
    <x v="2"/>
    <s v="Ex-Employees"/>
    <x v="0"/>
    <x v="0"/>
    <s v="STAFF-175"/>
    <n v="175"/>
    <x v="0"/>
    <x v="0"/>
    <x v="1"/>
    <s v="Yes"/>
    <s v="Y"/>
    <n v="2"/>
    <n v="-2"/>
    <n v="0"/>
    <n v="31"/>
    <n v="1"/>
    <n v="1"/>
    <n v="1"/>
    <n v="0"/>
    <n v="542"/>
    <n v="20"/>
    <x v="3"/>
    <n v="1"/>
    <n v="2"/>
    <n v="71"/>
    <n v="1"/>
    <n v="2"/>
    <n v="2"/>
    <n v="4559"/>
    <n v="24788"/>
    <n v="3"/>
    <n v="11"/>
    <x v="0"/>
    <n v="3"/>
    <n v="80"/>
    <n v="1"/>
    <n v="4"/>
    <n v="3"/>
    <n v="2"/>
    <n v="2"/>
    <n v="2"/>
    <n v="2"/>
  </r>
  <r>
    <s v="No"/>
    <s v="Travel_Rarely"/>
    <x v="0"/>
    <s v="Current Employees"/>
    <x v="0"/>
    <x v="0"/>
    <s v="STAFF-176"/>
    <n v="176"/>
    <x v="1"/>
    <x v="0"/>
    <x v="2"/>
    <s v="Yes"/>
    <s v="Y"/>
    <n v="2"/>
    <n v="-2"/>
    <n v="0"/>
    <n v="41"/>
    <n v="0"/>
    <m/>
    <n v="0"/>
    <n v="1"/>
    <n v="802"/>
    <n v="9"/>
    <x v="1"/>
    <n v="1"/>
    <n v="3"/>
    <n v="96"/>
    <n v="3"/>
    <n v="3"/>
    <n v="2"/>
    <n v="8189"/>
    <n v="21196"/>
    <n v="3"/>
    <n v="13"/>
    <x v="0"/>
    <n v="3"/>
    <n v="80"/>
    <n v="1"/>
    <n v="12"/>
    <n v="3"/>
    <n v="9"/>
    <n v="7"/>
    <n v="0"/>
    <n v="7"/>
  </r>
  <r>
    <s v="No"/>
    <s v="Travel_Rarely"/>
    <x v="2"/>
    <s v="Current Employees"/>
    <x v="2"/>
    <x v="0"/>
    <s v="STAFF-177"/>
    <n v="177"/>
    <x v="0"/>
    <x v="8"/>
    <x v="1"/>
    <s v="No"/>
    <s v="Y"/>
    <n v="3"/>
    <n v="-2"/>
    <n v="0"/>
    <n v="26"/>
    <n v="0"/>
    <m/>
    <n v="0"/>
    <n v="1"/>
    <n v="1355"/>
    <n v="25"/>
    <x v="1"/>
    <n v="1"/>
    <n v="3"/>
    <n v="61"/>
    <n v="3"/>
    <n v="1"/>
    <n v="2"/>
    <n v="2942"/>
    <n v="8916"/>
    <n v="1"/>
    <n v="23"/>
    <x v="1"/>
    <n v="4"/>
    <n v="80"/>
    <n v="1"/>
    <n v="8"/>
    <n v="3"/>
    <n v="8"/>
    <n v="7"/>
    <n v="5"/>
    <n v="7"/>
  </r>
  <r>
    <s v="No"/>
    <s v="Travel_Rarely"/>
    <x v="0"/>
    <s v="Current Employees"/>
    <x v="1"/>
    <x v="2"/>
    <s v="STAFF-178"/>
    <n v="178"/>
    <x v="1"/>
    <x v="3"/>
    <x v="2"/>
    <s v="No"/>
    <s v="Y"/>
    <n v="0"/>
    <n v="-2"/>
    <n v="0"/>
    <n v="36"/>
    <n v="0"/>
    <m/>
    <n v="0"/>
    <n v="1"/>
    <n v="216"/>
    <n v="6"/>
    <x v="0"/>
    <n v="1"/>
    <n v="2"/>
    <n v="84"/>
    <n v="3"/>
    <n v="2"/>
    <n v="3"/>
    <n v="4941"/>
    <n v="2819"/>
    <n v="6"/>
    <n v="20"/>
    <x v="1"/>
    <n v="4"/>
    <n v="80"/>
    <n v="2"/>
    <n v="7"/>
    <n v="3"/>
    <n v="3"/>
    <n v="2"/>
    <n v="0"/>
    <n v="1"/>
  </r>
  <r>
    <s v="Yes"/>
    <s v="Travel_Frequently"/>
    <x v="1"/>
    <s v="Ex-Employees"/>
    <x v="1"/>
    <x v="0"/>
    <s v="STAFF-179"/>
    <n v="179"/>
    <x v="1"/>
    <x v="3"/>
    <x v="0"/>
    <s v="No"/>
    <s v="Y"/>
    <n v="2"/>
    <n v="-2"/>
    <n v="0"/>
    <n v="51"/>
    <n v="1"/>
    <n v="1"/>
    <n v="1"/>
    <n v="0"/>
    <n v="1150"/>
    <n v="8"/>
    <x v="2"/>
    <n v="1"/>
    <n v="1"/>
    <n v="53"/>
    <n v="1"/>
    <n v="3"/>
    <n v="2"/>
    <n v="10650"/>
    <n v="25150"/>
    <n v="2"/>
    <n v="15"/>
    <x v="0"/>
    <n v="4"/>
    <n v="80"/>
    <n v="0"/>
    <n v="18"/>
    <n v="3"/>
    <n v="4"/>
    <n v="2"/>
    <n v="0"/>
    <n v="3"/>
  </r>
  <r>
    <s v="No"/>
    <s v="Travel_Rarely"/>
    <x v="0"/>
    <s v="Current Employees"/>
    <x v="0"/>
    <x v="0"/>
    <s v="STAFF-182"/>
    <n v="182"/>
    <x v="0"/>
    <x v="0"/>
    <x v="1"/>
    <s v="No"/>
    <s v="Y"/>
    <n v="1"/>
    <n v="-2"/>
    <n v="0"/>
    <n v="39"/>
    <n v="0"/>
    <m/>
    <n v="0"/>
    <n v="1"/>
    <n v="1329"/>
    <n v="4"/>
    <x v="2"/>
    <n v="1"/>
    <n v="4"/>
    <n v="47"/>
    <n v="2"/>
    <n v="2"/>
    <n v="2"/>
    <n v="5902"/>
    <n v="14590"/>
    <n v="4"/>
    <n v="14"/>
    <x v="0"/>
    <n v="3"/>
    <n v="80"/>
    <n v="1"/>
    <n v="17"/>
    <n v="4"/>
    <n v="15"/>
    <n v="11"/>
    <n v="5"/>
    <n v="9"/>
  </r>
  <r>
    <s v="No"/>
    <s v="Travel_Rarely"/>
    <x v="2"/>
    <s v="Current Employees"/>
    <x v="0"/>
    <x v="0"/>
    <s v="STAFF-183"/>
    <n v="183"/>
    <x v="1"/>
    <x v="0"/>
    <x v="1"/>
    <s v="No"/>
    <s v="Y"/>
    <n v="3"/>
    <n v="-2"/>
    <n v="0"/>
    <n v="25"/>
    <n v="0"/>
    <m/>
    <n v="0"/>
    <n v="1"/>
    <n v="959"/>
    <n v="28"/>
    <x v="3"/>
    <n v="1"/>
    <n v="1"/>
    <n v="41"/>
    <n v="2"/>
    <n v="2"/>
    <n v="2"/>
    <n v="8639"/>
    <n v="24835"/>
    <n v="2"/>
    <n v="18"/>
    <x v="0"/>
    <n v="4"/>
    <n v="80"/>
    <n v="0"/>
    <n v="6"/>
    <n v="3"/>
    <n v="2"/>
    <n v="2"/>
    <n v="2"/>
    <n v="2"/>
  </r>
  <r>
    <s v="No"/>
    <s v="Travel_Rarely"/>
    <x v="2"/>
    <s v="Current Employees"/>
    <x v="2"/>
    <x v="5"/>
    <s v="STAFF-184"/>
    <n v="184"/>
    <x v="1"/>
    <x v="8"/>
    <x v="1"/>
    <s v="Yes"/>
    <s v="Y"/>
    <n v="2"/>
    <n v="-2"/>
    <n v="0"/>
    <n v="30"/>
    <n v="0"/>
    <m/>
    <n v="0"/>
    <n v="1"/>
    <n v="1240"/>
    <n v="9"/>
    <x v="3"/>
    <n v="1"/>
    <n v="3"/>
    <n v="48"/>
    <n v="3"/>
    <n v="2"/>
    <n v="4"/>
    <n v="6347"/>
    <n v="13982"/>
    <n v="0"/>
    <n v="19"/>
    <x v="0"/>
    <n v="4"/>
    <n v="80"/>
    <n v="0"/>
    <n v="12"/>
    <n v="1"/>
    <n v="11"/>
    <n v="9"/>
    <n v="4"/>
    <n v="7"/>
  </r>
  <r>
    <s v="Yes"/>
    <s v="Travel_Rarely"/>
    <x v="2"/>
    <s v="Ex-Employees"/>
    <x v="1"/>
    <x v="2"/>
    <s v="STAFF-190"/>
    <n v="190"/>
    <x v="0"/>
    <x v="2"/>
    <x v="0"/>
    <s v="No"/>
    <s v="Y"/>
    <n v="2"/>
    <n v="-2"/>
    <n v="0"/>
    <n v="32"/>
    <n v="1"/>
    <n v="1"/>
    <n v="1"/>
    <n v="0"/>
    <n v="1033"/>
    <n v="9"/>
    <x v="3"/>
    <n v="1"/>
    <n v="1"/>
    <n v="41"/>
    <n v="3"/>
    <n v="1"/>
    <n v="1"/>
    <n v="4200"/>
    <n v="10224"/>
    <n v="7"/>
    <n v="22"/>
    <x v="1"/>
    <n v="1"/>
    <n v="80"/>
    <n v="0"/>
    <n v="10"/>
    <n v="4"/>
    <n v="5"/>
    <n v="4"/>
    <n v="0"/>
    <n v="4"/>
  </r>
  <r>
    <s v="No"/>
    <s v="Travel_Rarely"/>
    <x v="1"/>
    <s v="Current Employees"/>
    <x v="1"/>
    <x v="2"/>
    <s v="STAFF-192"/>
    <n v="192"/>
    <x v="1"/>
    <x v="1"/>
    <x v="0"/>
    <s v="No"/>
    <s v="Y"/>
    <n v="2"/>
    <n v="-2"/>
    <n v="0"/>
    <n v="45"/>
    <n v="0"/>
    <m/>
    <n v="0"/>
    <n v="1"/>
    <n v="1316"/>
    <n v="29"/>
    <x v="3"/>
    <n v="1"/>
    <n v="3"/>
    <n v="83"/>
    <n v="3"/>
    <n v="1"/>
    <n v="4"/>
    <n v="3452"/>
    <n v="9752"/>
    <n v="5"/>
    <n v="13"/>
    <x v="0"/>
    <n v="2"/>
    <n v="80"/>
    <n v="0"/>
    <n v="9"/>
    <n v="2"/>
    <n v="6"/>
    <n v="5"/>
    <n v="0"/>
    <n v="3"/>
  </r>
  <r>
    <s v="No"/>
    <s v="Travel_Rarely"/>
    <x v="0"/>
    <s v="Current Employees"/>
    <x v="1"/>
    <x v="4"/>
    <s v="STAFF-193"/>
    <n v="193"/>
    <x v="0"/>
    <x v="1"/>
    <x v="0"/>
    <s v="Yes"/>
    <s v="Y"/>
    <n v="2"/>
    <n v="-2"/>
    <n v="0"/>
    <n v="38"/>
    <n v="0"/>
    <m/>
    <n v="0"/>
    <n v="1"/>
    <n v="364"/>
    <n v="3"/>
    <x v="4"/>
    <n v="1"/>
    <n v="4"/>
    <n v="32"/>
    <n v="3"/>
    <n v="2"/>
    <n v="3"/>
    <n v="4317"/>
    <n v="2302"/>
    <n v="3"/>
    <n v="20"/>
    <x v="1"/>
    <n v="2"/>
    <n v="80"/>
    <n v="0"/>
    <n v="19"/>
    <n v="3"/>
    <n v="3"/>
    <n v="2"/>
    <n v="2"/>
    <n v="2"/>
  </r>
  <r>
    <s v="No"/>
    <s v="Travel_Rarely"/>
    <x v="2"/>
    <s v="Current Employees"/>
    <x v="1"/>
    <x v="0"/>
    <s v="STAFF-194"/>
    <n v="194"/>
    <x v="0"/>
    <x v="1"/>
    <x v="0"/>
    <s v="No"/>
    <s v="Y"/>
    <n v="4"/>
    <n v="-2"/>
    <n v="0"/>
    <n v="30"/>
    <n v="0"/>
    <m/>
    <n v="0"/>
    <n v="1"/>
    <n v="438"/>
    <n v="18"/>
    <x v="3"/>
    <n v="1"/>
    <n v="1"/>
    <n v="75"/>
    <n v="3"/>
    <n v="1"/>
    <n v="2"/>
    <n v="2632"/>
    <n v="23910"/>
    <n v="1"/>
    <n v="14"/>
    <x v="0"/>
    <n v="3"/>
    <n v="80"/>
    <n v="0"/>
    <n v="5"/>
    <n v="2"/>
    <n v="5"/>
    <n v="4"/>
    <n v="0"/>
    <n v="4"/>
  </r>
  <r>
    <s v="No"/>
    <s v="Travel_Frequently"/>
    <x v="2"/>
    <s v="Current Employees"/>
    <x v="0"/>
    <x v="2"/>
    <s v="STAFF-195"/>
    <n v="195"/>
    <x v="1"/>
    <x v="0"/>
    <x v="2"/>
    <s v="No"/>
    <s v="Y"/>
    <n v="2"/>
    <n v="-2"/>
    <n v="0"/>
    <n v="32"/>
    <n v="0"/>
    <m/>
    <n v="0"/>
    <n v="1"/>
    <n v="689"/>
    <n v="9"/>
    <x v="0"/>
    <n v="1"/>
    <n v="4"/>
    <n v="35"/>
    <n v="1"/>
    <n v="2"/>
    <n v="4"/>
    <n v="4668"/>
    <n v="22812"/>
    <n v="0"/>
    <n v="17"/>
    <x v="0"/>
    <n v="4"/>
    <n v="80"/>
    <n v="3"/>
    <n v="9"/>
    <n v="4"/>
    <n v="8"/>
    <n v="7"/>
    <n v="0"/>
    <n v="7"/>
  </r>
  <r>
    <s v="No"/>
    <s v="Travel_Rarely"/>
    <x v="2"/>
    <s v="Current Employees"/>
    <x v="1"/>
    <x v="4"/>
    <s v="STAFF-197"/>
    <n v="197"/>
    <x v="0"/>
    <x v="1"/>
    <x v="2"/>
    <s v="No"/>
    <s v="Y"/>
    <n v="3"/>
    <n v="-2"/>
    <n v="0"/>
    <n v="30"/>
    <n v="0"/>
    <m/>
    <n v="0"/>
    <n v="1"/>
    <n v="201"/>
    <n v="5"/>
    <x v="3"/>
    <n v="1"/>
    <n v="4"/>
    <n v="84"/>
    <n v="3"/>
    <n v="1"/>
    <n v="4"/>
    <n v="3204"/>
    <n v="10415"/>
    <n v="5"/>
    <n v="14"/>
    <x v="0"/>
    <n v="4"/>
    <n v="80"/>
    <n v="1"/>
    <n v="8"/>
    <n v="3"/>
    <n v="3"/>
    <n v="2"/>
    <n v="2"/>
    <n v="2"/>
  </r>
  <r>
    <s v="No"/>
    <s v="Travel_Rarely"/>
    <x v="2"/>
    <s v="Current Employees"/>
    <x v="1"/>
    <x v="2"/>
    <s v="STAFF-198"/>
    <n v="198"/>
    <x v="1"/>
    <x v="2"/>
    <x v="0"/>
    <s v="No"/>
    <s v="Y"/>
    <n v="3"/>
    <n v="-2"/>
    <n v="0"/>
    <n v="30"/>
    <n v="0"/>
    <m/>
    <n v="0"/>
    <n v="1"/>
    <n v="1427"/>
    <n v="2"/>
    <x v="1"/>
    <n v="1"/>
    <n v="2"/>
    <n v="35"/>
    <n v="2"/>
    <n v="1"/>
    <n v="4"/>
    <n v="2720"/>
    <n v="11162"/>
    <n v="0"/>
    <n v="13"/>
    <x v="0"/>
    <n v="4"/>
    <n v="80"/>
    <n v="0"/>
    <n v="6"/>
    <n v="3"/>
    <n v="5"/>
    <n v="3"/>
    <n v="1"/>
    <n v="2"/>
  </r>
  <r>
    <s v="No"/>
    <s v="Travel_Frequently"/>
    <x v="0"/>
    <s v="Current Employees"/>
    <x v="1"/>
    <x v="0"/>
    <s v="STAFF-199"/>
    <n v="199"/>
    <x v="1"/>
    <x v="5"/>
    <x v="2"/>
    <s v="No"/>
    <s v="Y"/>
    <n v="2"/>
    <n v="-2"/>
    <n v="0"/>
    <n v="41"/>
    <n v="0"/>
    <m/>
    <n v="0"/>
    <n v="1"/>
    <n v="857"/>
    <n v="10"/>
    <x v="3"/>
    <n v="1"/>
    <n v="4"/>
    <n v="91"/>
    <n v="2"/>
    <n v="4"/>
    <n v="2"/>
    <n v="17181"/>
    <n v="12888"/>
    <n v="4"/>
    <n v="13"/>
    <x v="0"/>
    <n v="2"/>
    <n v="80"/>
    <n v="1"/>
    <n v="21"/>
    <n v="2"/>
    <n v="7"/>
    <n v="6"/>
    <n v="7"/>
    <n v="7"/>
  </r>
  <r>
    <s v="No"/>
    <s v="Travel_Rarely"/>
    <x v="0"/>
    <s v="Current Employees"/>
    <x v="1"/>
    <x v="0"/>
    <s v="STAFF-200"/>
    <n v="200"/>
    <x v="1"/>
    <x v="2"/>
    <x v="1"/>
    <s v="No"/>
    <s v="Y"/>
    <n v="2"/>
    <n v="-2"/>
    <n v="0"/>
    <n v="41"/>
    <n v="0"/>
    <m/>
    <n v="0"/>
    <n v="1"/>
    <n v="933"/>
    <n v="9"/>
    <x v="2"/>
    <n v="1"/>
    <n v="3"/>
    <n v="94"/>
    <n v="3"/>
    <n v="1"/>
    <n v="2"/>
    <n v="2238"/>
    <n v="6961"/>
    <n v="2"/>
    <n v="21"/>
    <x v="1"/>
    <n v="4"/>
    <n v="80"/>
    <n v="1"/>
    <n v="7"/>
    <n v="3"/>
    <n v="5"/>
    <n v="0"/>
    <n v="1"/>
    <n v="4"/>
  </r>
  <r>
    <s v="No"/>
    <s v="Travel_Rarely"/>
    <x v="4"/>
    <s v="Current Employees"/>
    <x v="1"/>
    <x v="2"/>
    <s v="STAFF-201"/>
    <n v="201"/>
    <x v="0"/>
    <x v="2"/>
    <x v="0"/>
    <s v="No"/>
    <s v="Y"/>
    <n v="3"/>
    <n v="-2"/>
    <n v="0"/>
    <n v="19"/>
    <n v="0"/>
    <m/>
    <n v="0"/>
    <n v="1"/>
    <n v="1181"/>
    <n v="3"/>
    <x v="1"/>
    <n v="1"/>
    <n v="2"/>
    <n v="79"/>
    <n v="3"/>
    <n v="1"/>
    <n v="3"/>
    <n v="1483"/>
    <n v="16102"/>
    <n v="1"/>
    <n v="14"/>
    <x v="0"/>
    <n v="4"/>
    <n v="80"/>
    <n v="0"/>
    <n v="1"/>
    <n v="3"/>
    <n v="1"/>
    <n v="0"/>
    <n v="0"/>
    <n v="0"/>
  </r>
  <r>
    <s v="No"/>
    <s v="Travel_Frequently"/>
    <x v="0"/>
    <s v="Current Employees"/>
    <x v="1"/>
    <x v="2"/>
    <s v="STAFF-202"/>
    <n v="202"/>
    <x v="0"/>
    <x v="1"/>
    <x v="2"/>
    <s v="No"/>
    <s v="Y"/>
    <n v="2"/>
    <n v="-2"/>
    <n v="0"/>
    <n v="40"/>
    <n v="0"/>
    <m/>
    <n v="0"/>
    <n v="1"/>
    <n v="1395"/>
    <n v="26"/>
    <x v="3"/>
    <n v="1"/>
    <n v="2"/>
    <n v="54"/>
    <n v="3"/>
    <n v="2"/>
    <n v="3"/>
    <n v="5605"/>
    <n v="8504"/>
    <n v="1"/>
    <n v="11"/>
    <x v="0"/>
    <n v="1"/>
    <n v="80"/>
    <n v="1"/>
    <n v="20"/>
    <n v="3"/>
    <n v="20"/>
    <n v="7"/>
    <n v="2"/>
    <n v="13"/>
  </r>
  <r>
    <s v="No"/>
    <s v="Travel_Rarely"/>
    <x v="0"/>
    <s v="Current Employees"/>
    <x v="0"/>
    <x v="3"/>
    <s v="STAFF-204"/>
    <n v="204"/>
    <x v="1"/>
    <x v="0"/>
    <x v="1"/>
    <s v="No"/>
    <s v="Y"/>
    <n v="3"/>
    <n v="-2"/>
    <n v="0"/>
    <n v="35"/>
    <n v="0"/>
    <m/>
    <n v="0"/>
    <n v="1"/>
    <n v="662"/>
    <n v="1"/>
    <x v="4"/>
    <n v="1"/>
    <n v="3"/>
    <n v="94"/>
    <n v="3"/>
    <n v="3"/>
    <n v="3"/>
    <n v="7295"/>
    <n v="11439"/>
    <n v="1"/>
    <n v="13"/>
    <x v="0"/>
    <n v="1"/>
    <n v="80"/>
    <n v="2"/>
    <n v="10"/>
    <n v="3"/>
    <n v="10"/>
    <n v="8"/>
    <n v="0"/>
    <n v="6"/>
  </r>
  <r>
    <s v="No"/>
    <s v="Travel_Rarely"/>
    <x v="1"/>
    <s v="Current Employees"/>
    <x v="0"/>
    <x v="3"/>
    <s v="STAFF-205"/>
    <n v="205"/>
    <x v="1"/>
    <x v="6"/>
    <x v="1"/>
    <s v="Yes"/>
    <s v="Y"/>
    <n v="3"/>
    <n v="-2"/>
    <n v="0"/>
    <n v="53"/>
    <n v="0"/>
    <m/>
    <n v="0"/>
    <n v="1"/>
    <n v="1436"/>
    <n v="6"/>
    <x v="0"/>
    <n v="1"/>
    <n v="2"/>
    <n v="34"/>
    <n v="3"/>
    <n v="2"/>
    <n v="3"/>
    <n v="2306"/>
    <n v="16047"/>
    <n v="2"/>
    <n v="20"/>
    <x v="1"/>
    <n v="4"/>
    <n v="80"/>
    <n v="1"/>
    <n v="13"/>
    <n v="1"/>
    <n v="7"/>
    <n v="7"/>
    <n v="4"/>
    <n v="5"/>
  </r>
  <r>
    <s v="No"/>
    <s v="Travel_Rarely"/>
    <x v="1"/>
    <s v="Current Employees"/>
    <x v="1"/>
    <x v="0"/>
    <s v="STAFF-206"/>
    <n v="206"/>
    <x v="1"/>
    <x v="2"/>
    <x v="2"/>
    <s v="No"/>
    <s v="Y"/>
    <n v="2"/>
    <n v="-2"/>
    <n v="0"/>
    <n v="45"/>
    <n v="0"/>
    <m/>
    <n v="0"/>
    <n v="1"/>
    <n v="194"/>
    <n v="9"/>
    <x v="3"/>
    <n v="1"/>
    <n v="2"/>
    <n v="60"/>
    <n v="3"/>
    <n v="2"/>
    <n v="2"/>
    <n v="2348"/>
    <n v="10901"/>
    <n v="8"/>
    <n v="18"/>
    <x v="0"/>
    <n v="3"/>
    <n v="80"/>
    <n v="1"/>
    <n v="20"/>
    <n v="1"/>
    <n v="17"/>
    <n v="9"/>
    <n v="0"/>
    <n v="15"/>
  </r>
  <r>
    <s v="No"/>
    <s v="Travel_Frequently"/>
    <x v="2"/>
    <s v="Current Employees"/>
    <x v="0"/>
    <x v="3"/>
    <s v="STAFF-207"/>
    <n v="207"/>
    <x v="0"/>
    <x v="0"/>
    <x v="0"/>
    <s v="No"/>
    <s v="Y"/>
    <n v="2"/>
    <n v="-2"/>
    <n v="0"/>
    <n v="32"/>
    <n v="0"/>
    <m/>
    <n v="0"/>
    <n v="1"/>
    <n v="967"/>
    <n v="8"/>
    <x v="3"/>
    <n v="1"/>
    <n v="2"/>
    <n v="43"/>
    <n v="3"/>
    <n v="3"/>
    <n v="4"/>
    <n v="8998"/>
    <n v="15589"/>
    <n v="1"/>
    <n v="14"/>
    <x v="0"/>
    <n v="4"/>
    <n v="80"/>
    <n v="0"/>
    <n v="9"/>
    <n v="3"/>
    <n v="9"/>
    <n v="8"/>
    <n v="3"/>
    <n v="7"/>
  </r>
  <r>
    <s v="No"/>
    <s v="Non-Travel"/>
    <x v="2"/>
    <s v="Current Employees"/>
    <x v="1"/>
    <x v="4"/>
    <s v="STAFF-208"/>
    <n v="208"/>
    <x v="1"/>
    <x v="3"/>
    <x v="1"/>
    <s v="No"/>
    <s v="Y"/>
    <n v="1"/>
    <n v="-2"/>
    <n v="0"/>
    <n v="29"/>
    <n v="0"/>
    <m/>
    <n v="0"/>
    <n v="1"/>
    <n v="1496"/>
    <n v="1"/>
    <x v="1"/>
    <n v="1"/>
    <n v="4"/>
    <n v="41"/>
    <n v="3"/>
    <n v="2"/>
    <n v="4"/>
    <n v="4319"/>
    <n v="26283"/>
    <n v="1"/>
    <n v="13"/>
    <x v="0"/>
    <n v="1"/>
    <n v="80"/>
    <n v="1"/>
    <n v="10"/>
    <n v="3"/>
    <n v="10"/>
    <n v="7"/>
    <n v="0"/>
    <n v="9"/>
  </r>
  <r>
    <s v="No"/>
    <s v="Travel_Rarely"/>
    <x v="1"/>
    <s v="Current Employees"/>
    <x v="1"/>
    <x v="2"/>
    <s v="STAFF-211"/>
    <n v="211"/>
    <x v="1"/>
    <x v="3"/>
    <x v="1"/>
    <s v="No"/>
    <s v="Y"/>
    <n v="2"/>
    <n v="-2"/>
    <n v="0"/>
    <n v="51"/>
    <n v="0"/>
    <m/>
    <n v="0"/>
    <n v="1"/>
    <n v="1169"/>
    <n v="7"/>
    <x v="2"/>
    <n v="1"/>
    <n v="2"/>
    <n v="34"/>
    <n v="2"/>
    <n v="2"/>
    <n v="3"/>
    <n v="6132"/>
    <n v="13983"/>
    <n v="2"/>
    <n v="17"/>
    <x v="0"/>
    <n v="3"/>
    <n v="80"/>
    <n v="0"/>
    <n v="10"/>
    <n v="3"/>
    <n v="1"/>
    <n v="0"/>
    <n v="0"/>
    <n v="0"/>
  </r>
  <r>
    <s v="No"/>
    <s v="Travel_Rarely"/>
    <x v="3"/>
    <s v="Current Employees"/>
    <x v="1"/>
    <x v="2"/>
    <s v="STAFF-214"/>
    <n v="214"/>
    <x v="0"/>
    <x v="1"/>
    <x v="1"/>
    <s v="Yes"/>
    <s v="Y"/>
    <n v="3"/>
    <n v="-2"/>
    <n v="0"/>
    <n v="58"/>
    <n v="0"/>
    <m/>
    <n v="0"/>
    <n v="1"/>
    <n v="1145"/>
    <n v="9"/>
    <x v="3"/>
    <n v="1"/>
    <n v="2"/>
    <n v="75"/>
    <n v="2"/>
    <n v="1"/>
    <n v="3"/>
    <n v="3346"/>
    <n v="11873"/>
    <n v="4"/>
    <n v="20"/>
    <x v="1"/>
    <n v="2"/>
    <n v="80"/>
    <n v="1"/>
    <n v="9"/>
    <n v="2"/>
    <n v="1"/>
    <n v="0"/>
    <n v="0"/>
    <n v="0"/>
  </r>
  <r>
    <s v="No"/>
    <s v="Travel_Rarely"/>
    <x v="0"/>
    <s v="Current Employees"/>
    <x v="0"/>
    <x v="3"/>
    <s v="STAFF-215"/>
    <n v="215"/>
    <x v="1"/>
    <x v="0"/>
    <x v="1"/>
    <s v="No"/>
    <s v="Y"/>
    <n v="2"/>
    <n v="-2"/>
    <n v="0"/>
    <n v="40"/>
    <n v="0"/>
    <m/>
    <n v="0"/>
    <n v="1"/>
    <n v="630"/>
    <n v="4"/>
    <x v="2"/>
    <n v="1"/>
    <n v="3"/>
    <n v="67"/>
    <n v="2"/>
    <n v="3"/>
    <n v="4"/>
    <n v="10855"/>
    <n v="8552"/>
    <n v="7"/>
    <n v="11"/>
    <x v="0"/>
    <n v="1"/>
    <n v="80"/>
    <n v="1"/>
    <n v="15"/>
    <n v="2"/>
    <n v="12"/>
    <n v="11"/>
    <n v="2"/>
    <n v="11"/>
  </r>
  <r>
    <s v="No"/>
    <s v="Travel_Frequently"/>
    <x v="2"/>
    <s v="Current Employees"/>
    <x v="0"/>
    <x v="3"/>
    <s v="STAFF-216"/>
    <n v="216"/>
    <x v="0"/>
    <x v="6"/>
    <x v="1"/>
    <s v="No"/>
    <s v="Y"/>
    <n v="3"/>
    <n v="-2"/>
    <n v="0"/>
    <n v="34"/>
    <n v="0"/>
    <m/>
    <n v="0"/>
    <n v="1"/>
    <n v="303"/>
    <n v="2"/>
    <x v="2"/>
    <n v="1"/>
    <n v="3"/>
    <n v="75"/>
    <n v="3"/>
    <n v="1"/>
    <n v="3"/>
    <n v="2231"/>
    <n v="11314"/>
    <n v="6"/>
    <n v="18"/>
    <x v="0"/>
    <n v="4"/>
    <n v="80"/>
    <n v="1"/>
    <n v="6"/>
    <n v="3"/>
    <n v="4"/>
    <n v="3"/>
    <n v="1"/>
    <n v="2"/>
  </r>
  <r>
    <s v="No"/>
    <s v="Travel_Rarely"/>
    <x v="4"/>
    <s v="Current Employees"/>
    <x v="1"/>
    <x v="2"/>
    <s v="STAFF-217"/>
    <n v="217"/>
    <x v="1"/>
    <x v="1"/>
    <x v="1"/>
    <s v="No"/>
    <s v="Y"/>
    <n v="6"/>
    <n v="-2"/>
    <n v="0"/>
    <n v="22"/>
    <n v="0"/>
    <m/>
    <n v="0"/>
    <n v="1"/>
    <n v="1256"/>
    <n v="19"/>
    <x v="1"/>
    <n v="1"/>
    <n v="3"/>
    <n v="80"/>
    <n v="3"/>
    <n v="1"/>
    <n v="4"/>
    <n v="2323"/>
    <n v="11992"/>
    <n v="1"/>
    <n v="24"/>
    <x v="1"/>
    <n v="1"/>
    <n v="80"/>
    <n v="2"/>
    <n v="2"/>
    <n v="3"/>
    <n v="2"/>
    <n v="2"/>
    <n v="2"/>
    <n v="2"/>
  </r>
  <r>
    <s v="No"/>
    <s v="Non-Travel"/>
    <x v="2"/>
    <s v="Current Employees"/>
    <x v="1"/>
    <x v="2"/>
    <s v="STAFF-218"/>
    <n v="218"/>
    <x v="1"/>
    <x v="1"/>
    <x v="2"/>
    <s v="No"/>
    <s v="Y"/>
    <n v="1"/>
    <n v="-2"/>
    <n v="0"/>
    <n v="27"/>
    <n v="0"/>
    <m/>
    <n v="0"/>
    <n v="1"/>
    <n v="691"/>
    <n v="9"/>
    <x v="3"/>
    <n v="1"/>
    <n v="4"/>
    <n v="57"/>
    <n v="3"/>
    <n v="1"/>
    <n v="3"/>
    <n v="2024"/>
    <n v="5970"/>
    <n v="6"/>
    <n v="18"/>
    <x v="0"/>
    <n v="4"/>
    <n v="80"/>
    <n v="1"/>
    <n v="6"/>
    <n v="1"/>
    <n v="2"/>
    <n v="2"/>
    <n v="2"/>
    <n v="2"/>
  </r>
  <r>
    <s v="No"/>
    <s v="Travel_Rarely"/>
    <x v="2"/>
    <s v="Current Employees"/>
    <x v="1"/>
    <x v="2"/>
    <s v="STAFF-221"/>
    <n v="221"/>
    <x v="1"/>
    <x v="1"/>
    <x v="1"/>
    <s v="No"/>
    <s v="Y"/>
    <n v="2"/>
    <n v="-2"/>
    <n v="0"/>
    <n v="28"/>
    <n v="0"/>
    <m/>
    <n v="0"/>
    <n v="1"/>
    <n v="440"/>
    <n v="21"/>
    <x v="3"/>
    <n v="1"/>
    <n v="3"/>
    <n v="42"/>
    <n v="3"/>
    <n v="1"/>
    <n v="4"/>
    <n v="2713"/>
    <n v="6672"/>
    <n v="1"/>
    <n v="11"/>
    <x v="0"/>
    <n v="3"/>
    <n v="80"/>
    <n v="1"/>
    <n v="5"/>
    <n v="1"/>
    <n v="5"/>
    <n v="2"/>
    <n v="0"/>
    <n v="2"/>
  </r>
  <r>
    <s v="No"/>
    <s v="Travel_Rarely"/>
    <x v="3"/>
    <s v="Current Employees"/>
    <x v="1"/>
    <x v="0"/>
    <s v="STAFF-223"/>
    <n v="223"/>
    <x v="1"/>
    <x v="4"/>
    <x v="2"/>
    <s v="Yes"/>
    <s v="Y"/>
    <n v="2"/>
    <n v="-2"/>
    <n v="0"/>
    <n v="57"/>
    <n v="0"/>
    <m/>
    <n v="0"/>
    <n v="1"/>
    <n v="334"/>
    <n v="24"/>
    <x v="0"/>
    <n v="1"/>
    <n v="3"/>
    <n v="83"/>
    <n v="4"/>
    <n v="3"/>
    <n v="2"/>
    <n v="9439"/>
    <n v="23402"/>
    <n v="3"/>
    <n v="16"/>
    <x v="0"/>
    <n v="2"/>
    <n v="80"/>
    <n v="1"/>
    <n v="12"/>
    <n v="1"/>
    <n v="5"/>
    <n v="3"/>
    <n v="1"/>
    <n v="4"/>
  </r>
  <r>
    <s v="No"/>
    <s v="Non-Travel"/>
    <x v="2"/>
    <s v="Current Employees"/>
    <x v="1"/>
    <x v="2"/>
    <s v="STAFF-224"/>
    <n v="224"/>
    <x v="1"/>
    <x v="1"/>
    <x v="2"/>
    <s v="Yes"/>
    <s v="Y"/>
    <n v="2"/>
    <n v="-2"/>
    <n v="0"/>
    <n v="27"/>
    <n v="0"/>
    <m/>
    <n v="0"/>
    <n v="1"/>
    <n v="1450"/>
    <n v="3"/>
    <x v="3"/>
    <n v="1"/>
    <n v="3"/>
    <n v="79"/>
    <n v="2"/>
    <n v="1"/>
    <n v="3"/>
    <n v="2566"/>
    <n v="25326"/>
    <n v="1"/>
    <n v="15"/>
    <x v="0"/>
    <n v="4"/>
    <n v="80"/>
    <n v="1"/>
    <n v="1"/>
    <n v="2"/>
    <n v="1"/>
    <n v="1"/>
    <n v="0"/>
    <n v="1"/>
  </r>
  <r>
    <s v="No"/>
    <s v="Travel_Rarely"/>
    <x v="1"/>
    <s v="Current Employees"/>
    <x v="1"/>
    <x v="0"/>
    <s v="STAFF-226"/>
    <n v="226"/>
    <x v="0"/>
    <x v="5"/>
    <x v="0"/>
    <s v="No"/>
    <s v="Y"/>
    <n v="5"/>
    <n v="-2"/>
    <n v="0"/>
    <n v="50"/>
    <n v="0"/>
    <m/>
    <n v="0"/>
    <n v="1"/>
    <n v="1452"/>
    <n v="11"/>
    <x v="3"/>
    <n v="1"/>
    <n v="3"/>
    <n v="53"/>
    <n v="3"/>
    <n v="5"/>
    <n v="2"/>
    <n v="19926"/>
    <n v="17053"/>
    <n v="3"/>
    <n v="15"/>
    <x v="0"/>
    <n v="2"/>
    <n v="80"/>
    <n v="0"/>
    <n v="21"/>
    <n v="3"/>
    <n v="5"/>
    <n v="4"/>
    <n v="4"/>
    <n v="4"/>
  </r>
  <r>
    <s v="No"/>
    <s v="Travel_Rarely"/>
    <x v="0"/>
    <s v="Current Employees"/>
    <x v="1"/>
    <x v="0"/>
    <s v="STAFF-227"/>
    <n v="227"/>
    <x v="1"/>
    <x v="1"/>
    <x v="2"/>
    <s v="No"/>
    <s v="Y"/>
    <n v="2"/>
    <n v="-2"/>
    <n v="0"/>
    <n v="41"/>
    <n v="0"/>
    <m/>
    <n v="0"/>
    <n v="1"/>
    <n v="465"/>
    <n v="14"/>
    <x v="3"/>
    <n v="1"/>
    <n v="1"/>
    <n v="56"/>
    <n v="3"/>
    <n v="1"/>
    <n v="2"/>
    <n v="2451"/>
    <n v="4609"/>
    <n v="4"/>
    <n v="12"/>
    <x v="0"/>
    <n v="1"/>
    <n v="80"/>
    <n v="1"/>
    <n v="13"/>
    <n v="3"/>
    <n v="9"/>
    <n v="8"/>
    <n v="1"/>
    <n v="8"/>
  </r>
  <r>
    <s v="No"/>
    <s v="Travel_Rarely"/>
    <x v="2"/>
    <s v="Current Employees"/>
    <x v="0"/>
    <x v="0"/>
    <s v="STAFF-228"/>
    <n v="228"/>
    <x v="0"/>
    <x v="0"/>
    <x v="1"/>
    <s v="No"/>
    <s v="Y"/>
    <n v="2"/>
    <n v="-2"/>
    <n v="0"/>
    <n v="30"/>
    <n v="0"/>
    <m/>
    <n v="0"/>
    <n v="1"/>
    <n v="1339"/>
    <n v="5"/>
    <x v="3"/>
    <n v="1"/>
    <n v="2"/>
    <n v="41"/>
    <n v="3"/>
    <n v="3"/>
    <n v="2"/>
    <n v="9419"/>
    <n v="8053"/>
    <n v="2"/>
    <n v="12"/>
    <x v="0"/>
    <n v="3"/>
    <n v="80"/>
    <n v="1"/>
    <n v="12"/>
    <n v="3"/>
    <n v="10"/>
    <n v="9"/>
    <n v="7"/>
    <n v="4"/>
  </r>
  <r>
    <s v="No"/>
    <s v="Travel_Rarely"/>
    <x v="0"/>
    <s v="Current Employees"/>
    <x v="0"/>
    <x v="0"/>
    <s v="STAFF-230"/>
    <n v="230"/>
    <x v="0"/>
    <x v="0"/>
    <x v="0"/>
    <s v="No"/>
    <s v="Y"/>
    <n v="2"/>
    <n v="-2"/>
    <n v="0"/>
    <n v="38"/>
    <n v="0"/>
    <m/>
    <n v="0"/>
    <n v="1"/>
    <n v="702"/>
    <n v="1"/>
    <x v="2"/>
    <n v="1"/>
    <n v="1"/>
    <n v="59"/>
    <n v="2"/>
    <n v="2"/>
    <n v="2"/>
    <n v="8686"/>
    <n v="12930"/>
    <n v="4"/>
    <n v="22"/>
    <x v="1"/>
    <n v="3"/>
    <n v="80"/>
    <n v="0"/>
    <n v="12"/>
    <n v="4"/>
    <n v="8"/>
    <n v="3"/>
    <n v="0"/>
    <n v="7"/>
  </r>
  <r>
    <s v="No"/>
    <s v="Travel_Rarely"/>
    <x v="2"/>
    <s v="Current Employees"/>
    <x v="1"/>
    <x v="0"/>
    <s v="STAFF-231"/>
    <n v="231"/>
    <x v="1"/>
    <x v="1"/>
    <x v="0"/>
    <s v="No"/>
    <s v="Y"/>
    <n v="2"/>
    <n v="-2"/>
    <n v="0"/>
    <n v="32"/>
    <n v="0"/>
    <m/>
    <n v="0"/>
    <n v="1"/>
    <n v="120"/>
    <n v="6"/>
    <x v="4"/>
    <n v="1"/>
    <n v="3"/>
    <n v="43"/>
    <n v="3"/>
    <n v="1"/>
    <n v="2"/>
    <n v="3038"/>
    <n v="12430"/>
    <n v="3"/>
    <n v="20"/>
    <x v="1"/>
    <n v="1"/>
    <n v="80"/>
    <n v="0"/>
    <n v="8"/>
    <n v="3"/>
    <n v="5"/>
    <n v="4"/>
    <n v="1"/>
    <n v="4"/>
  </r>
  <r>
    <s v="No"/>
    <s v="Travel_Rarely"/>
    <x v="2"/>
    <s v="Current Employees"/>
    <x v="1"/>
    <x v="4"/>
    <s v="STAFF-233"/>
    <n v="233"/>
    <x v="1"/>
    <x v="1"/>
    <x v="1"/>
    <s v="Yes"/>
    <s v="Y"/>
    <n v="3"/>
    <n v="-2"/>
    <n v="0"/>
    <n v="27"/>
    <n v="0"/>
    <m/>
    <n v="0"/>
    <n v="1"/>
    <n v="1157"/>
    <n v="17"/>
    <x v="3"/>
    <n v="1"/>
    <n v="3"/>
    <n v="51"/>
    <n v="3"/>
    <n v="1"/>
    <n v="4"/>
    <n v="3058"/>
    <n v="13364"/>
    <n v="0"/>
    <n v="16"/>
    <x v="0"/>
    <n v="4"/>
    <n v="80"/>
    <n v="1"/>
    <n v="6"/>
    <n v="2"/>
    <n v="5"/>
    <n v="2"/>
    <n v="1"/>
    <n v="1"/>
  </r>
  <r>
    <s v="Yes"/>
    <s v="Travel_Frequently"/>
    <x v="4"/>
    <s v="Ex-Employees"/>
    <x v="0"/>
    <x v="4"/>
    <s v="STAFF-235"/>
    <n v="235"/>
    <x v="0"/>
    <x v="6"/>
    <x v="0"/>
    <s v="No"/>
    <s v="Y"/>
    <n v="5"/>
    <n v="-2"/>
    <n v="0"/>
    <n v="19"/>
    <n v="1"/>
    <n v="1"/>
    <n v="1"/>
    <n v="0"/>
    <n v="602"/>
    <n v="1"/>
    <x v="1"/>
    <n v="1"/>
    <n v="3"/>
    <n v="100"/>
    <n v="1"/>
    <n v="1"/>
    <n v="4"/>
    <n v="2325"/>
    <n v="20989"/>
    <n v="0"/>
    <n v="21"/>
    <x v="1"/>
    <n v="1"/>
    <n v="80"/>
    <n v="0"/>
    <n v="1"/>
    <n v="4"/>
    <n v="0"/>
    <n v="0"/>
    <n v="0"/>
    <n v="0"/>
  </r>
  <r>
    <s v="No"/>
    <s v="Travel_Frequently"/>
    <x v="0"/>
    <s v="Current Employees"/>
    <x v="1"/>
    <x v="2"/>
    <s v="STAFF-238"/>
    <n v="238"/>
    <x v="1"/>
    <x v="2"/>
    <x v="0"/>
    <s v="No"/>
    <s v="Y"/>
    <n v="3"/>
    <n v="-2"/>
    <n v="0"/>
    <n v="36"/>
    <n v="0"/>
    <m/>
    <n v="0"/>
    <n v="1"/>
    <n v="1480"/>
    <n v="3"/>
    <x v="0"/>
    <n v="1"/>
    <n v="4"/>
    <n v="30"/>
    <n v="3"/>
    <n v="1"/>
    <n v="3"/>
    <n v="2088"/>
    <n v="15062"/>
    <n v="4"/>
    <n v="12"/>
    <x v="0"/>
    <n v="3"/>
    <n v="80"/>
    <n v="0"/>
    <n v="13"/>
    <n v="2"/>
    <n v="8"/>
    <n v="7"/>
    <n v="7"/>
    <n v="2"/>
  </r>
  <r>
    <s v="No"/>
    <s v="Non-Travel"/>
    <x v="2"/>
    <s v="Current Employees"/>
    <x v="1"/>
    <x v="2"/>
    <s v="STAFF-239"/>
    <n v="239"/>
    <x v="1"/>
    <x v="2"/>
    <x v="2"/>
    <s v="No"/>
    <s v="Y"/>
    <n v="4"/>
    <n v="-2"/>
    <n v="0"/>
    <n v="30"/>
    <n v="0"/>
    <m/>
    <n v="0"/>
    <n v="1"/>
    <n v="111"/>
    <n v="9"/>
    <x v="3"/>
    <n v="1"/>
    <n v="3"/>
    <n v="66"/>
    <n v="3"/>
    <n v="2"/>
    <n v="1"/>
    <n v="3072"/>
    <n v="11012"/>
    <n v="1"/>
    <n v="11"/>
    <x v="0"/>
    <n v="3"/>
    <n v="80"/>
    <n v="2"/>
    <n v="12"/>
    <n v="3"/>
    <n v="12"/>
    <n v="9"/>
    <n v="6"/>
    <n v="10"/>
  </r>
  <r>
    <s v="No"/>
    <s v="Travel_Rarely"/>
    <x v="1"/>
    <s v="Current Employees"/>
    <x v="0"/>
    <x v="0"/>
    <s v="STAFF-240"/>
    <n v="240"/>
    <x v="0"/>
    <x v="0"/>
    <x v="2"/>
    <s v="Yes"/>
    <s v="Y"/>
    <n v="3"/>
    <n v="-2"/>
    <n v="0"/>
    <n v="45"/>
    <n v="0"/>
    <m/>
    <n v="0"/>
    <n v="1"/>
    <n v="1268"/>
    <n v="4"/>
    <x v="0"/>
    <n v="1"/>
    <n v="3"/>
    <n v="30"/>
    <n v="3"/>
    <n v="2"/>
    <n v="2"/>
    <n v="5006"/>
    <n v="6319"/>
    <n v="4"/>
    <n v="11"/>
    <x v="0"/>
    <n v="1"/>
    <n v="80"/>
    <n v="1"/>
    <n v="9"/>
    <n v="4"/>
    <n v="5"/>
    <n v="4"/>
    <n v="0"/>
    <n v="3"/>
  </r>
  <r>
    <s v="No"/>
    <s v="Travel_Rarely"/>
    <x v="3"/>
    <s v="Current Employees"/>
    <x v="1"/>
    <x v="0"/>
    <s v="STAFF-241"/>
    <n v="241"/>
    <x v="0"/>
    <x v="1"/>
    <x v="2"/>
    <s v="Yes"/>
    <s v="Y"/>
    <n v="3"/>
    <n v="-2"/>
    <n v="0"/>
    <n v="56"/>
    <n v="0"/>
    <m/>
    <n v="0"/>
    <n v="1"/>
    <n v="713"/>
    <n v="8"/>
    <x v="3"/>
    <n v="1"/>
    <n v="3"/>
    <n v="67"/>
    <n v="3"/>
    <n v="1"/>
    <n v="2"/>
    <n v="4257"/>
    <n v="13939"/>
    <n v="4"/>
    <n v="18"/>
    <x v="0"/>
    <n v="3"/>
    <n v="80"/>
    <n v="1"/>
    <n v="19"/>
    <n v="3"/>
    <n v="2"/>
    <n v="2"/>
    <n v="2"/>
    <n v="2"/>
  </r>
  <r>
    <s v="No"/>
    <s v="Travel_Rarely"/>
    <x v="2"/>
    <s v="Current Employees"/>
    <x v="1"/>
    <x v="0"/>
    <s v="STAFF-242"/>
    <n v="242"/>
    <x v="1"/>
    <x v="1"/>
    <x v="0"/>
    <s v="No"/>
    <s v="Y"/>
    <n v="2"/>
    <n v="-2"/>
    <n v="0"/>
    <n v="33"/>
    <n v="0"/>
    <m/>
    <n v="0"/>
    <n v="1"/>
    <n v="134"/>
    <n v="2"/>
    <x v="3"/>
    <n v="1"/>
    <n v="3"/>
    <n v="90"/>
    <n v="3"/>
    <n v="1"/>
    <n v="2"/>
    <n v="2500"/>
    <n v="10515"/>
    <n v="0"/>
    <n v="14"/>
    <x v="0"/>
    <n v="1"/>
    <n v="80"/>
    <n v="0"/>
    <n v="4"/>
    <n v="4"/>
    <n v="3"/>
    <n v="1"/>
    <n v="0"/>
    <n v="2"/>
  </r>
  <r>
    <s v="Yes"/>
    <s v="Travel_Rarely"/>
    <x v="4"/>
    <s v="Ex-Employees"/>
    <x v="1"/>
    <x v="0"/>
    <s v="STAFF-243"/>
    <n v="243"/>
    <x v="1"/>
    <x v="2"/>
    <x v="0"/>
    <s v="No"/>
    <s v="Y"/>
    <n v="3"/>
    <n v="-2"/>
    <n v="0"/>
    <n v="19"/>
    <n v="1"/>
    <n v="1"/>
    <n v="1"/>
    <n v="0"/>
    <n v="303"/>
    <n v="2"/>
    <x v="3"/>
    <n v="1"/>
    <n v="2"/>
    <n v="47"/>
    <n v="2"/>
    <n v="1"/>
    <n v="2"/>
    <n v="1102"/>
    <n v="9241"/>
    <n v="1"/>
    <n v="22"/>
    <x v="1"/>
    <n v="3"/>
    <n v="80"/>
    <n v="0"/>
    <n v="1"/>
    <n v="2"/>
    <n v="1"/>
    <n v="0"/>
    <n v="1"/>
    <n v="0"/>
  </r>
  <r>
    <s v="No"/>
    <s v="Travel_Rarely"/>
    <x v="1"/>
    <s v="Current Employees"/>
    <x v="0"/>
    <x v="3"/>
    <s v="STAFF-244"/>
    <n v="244"/>
    <x v="0"/>
    <x v="0"/>
    <x v="2"/>
    <s v="No"/>
    <s v="Y"/>
    <n v="2"/>
    <n v="-2"/>
    <n v="0"/>
    <n v="46"/>
    <n v="0"/>
    <m/>
    <n v="0"/>
    <n v="1"/>
    <n v="526"/>
    <n v="1"/>
    <x v="0"/>
    <n v="1"/>
    <n v="2"/>
    <n v="92"/>
    <n v="3"/>
    <n v="3"/>
    <n v="1"/>
    <n v="10453"/>
    <n v="2137"/>
    <n v="1"/>
    <n v="25"/>
    <x v="1"/>
    <n v="3"/>
    <n v="80"/>
    <n v="3"/>
    <n v="24"/>
    <n v="3"/>
    <n v="24"/>
    <n v="13"/>
    <n v="15"/>
    <n v="7"/>
  </r>
  <r>
    <s v="No"/>
    <s v="Travel_Rarely"/>
    <x v="0"/>
    <s v="Current Employees"/>
    <x v="1"/>
    <x v="0"/>
    <s v="STAFF-245"/>
    <n v="245"/>
    <x v="0"/>
    <x v="2"/>
    <x v="0"/>
    <s v="No"/>
    <s v="Y"/>
    <n v="3"/>
    <n v="-2"/>
    <n v="0"/>
    <n v="38"/>
    <n v="0"/>
    <m/>
    <n v="0"/>
    <n v="1"/>
    <n v="1380"/>
    <n v="9"/>
    <x v="0"/>
    <n v="1"/>
    <n v="3"/>
    <n v="75"/>
    <n v="3"/>
    <n v="1"/>
    <n v="2"/>
    <n v="2288"/>
    <n v="6319"/>
    <n v="1"/>
    <n v="12"/>
    <x v="0"/>
    <n v="3"/>
    <n v="80"/>
    <n v="0"/>
    <n v="2"/>
    <n v="3"/>
    <n v="2"/>
    <n v="2"/>
    <n v="2"/>
    <n v="1"/>
  </r>
  <r>
    <s v="No"/>
    <s v="Travel_Rarely"/>
    <x v="2"/>
    <s v="Current Employees"/>
    <x v="1"/>
    <x v="2"/>
    <s v="STAFF-246"/>
    <n v="246"/>
    <x v="0"/>
    <x v="1"/>
    <x v="1"/>
    <s v="Yes"/>
    <s v="Y"/>
    <n v="0"/>
    <n v="-2"/>
    <n v="0"/>
    <n v="31"/>
    <n v="0"/>
    <m/>
    <n v="0"/>
    <n v="1"/>
    <n v="140"/>
    <n v="12"/>
    <x v="1"/>
    <n v="1"/>
    <n v="3"/>
    <n v="95"/>
    <n v="3"/>
    <n v="1"/>
    <n v="4"/>
    <n v="3929"/>
    <n v="6984"/>
    <n v="8"/>
    <n v="23"/>
    <x v="1"/>
    <n v="3"/>
    <n v="80"/>
    <n v="1"/>
    <n v="7"/>
    <n v="3"/>
    <n v="4"/>
    <n v="2"/>
    <n v="0"/>
    <n v="2"/>
  </r>
  <r>
    <s v="No"/>
    <s v="Travel_Rarely"/>
    <x v="2"/>
    <s v="Current Employees"/>
    <x v="1"/>
    <x v="2"/>
    <s v="STAFF-247"/>
    <n v="247"/>
    <x v="0"/>
    <x v="1"/>
    <x v="0"/>
    <s v="No"/>
    <s v="Y"/>
    <n v="3"/>
    <n v="-2"/>
    <n v="0"/>
    <n v="34"/>
    <n v="0"/>
    <m/>
    <n v="0"/>
    <n v="1"/>
    <n v="629"/>
    <n v="27"/>
    <x v="0"/>
    <n v="1"/>
    <n v="4"/>
    <n v="95"/>
    <n v="3"/>
    <n v="1"/>
    <n v="3"/>
    <n v="2311"/>
    <n v="5711"/>
    <n v="2"/>
    <n v="15"/>
    <x v="0"/>
    <n v="4"/>
    <n v="80"/>
    <n v="0"/>
    <n v="9"/>
    <n v="3"/>
    <n v="3"/>
    <n v="2"/>
    <n v="1"/>
    <n v="2"/>
  </r>
  <r>
    <s v="Yes"/>
    <s v="Travel_Rarely"/>
    <x v="0"/>
    <s v="Ex-Employees"/>
    <x v="0"/>
    <x v="3"/>
    <s v="STAFF-248"/>
    <n v="248"/>
    <x v="0"/>
    <x v="6"/>
    <x v="0"/>
    <s v="Yes"/>
    <s v="Y"/>
    <n v="5"/>
    <n v="-2"/>
    <n v="0"/>
    <n v="41"/>
    <n v="1"/>
    <n v="1"/>
    <n v="1"/>
    <n v="0"/>
    <n v="1356"/>
    <n v="20"/>
    <x v="0"/>
    <n v="1"/>
    <n v="2"/>
    <n v="70"/>
    <n v="3"/>
    <n v="1"/>
    <n v="3"/>
    <n v="3140"/>
    <n v="21728"/>
    <n v="1"/>
    <n v="22"/>
    <x v="1"/>
    <n v="4"/>
    <n v="80"/>
    <n v="0"/>
    <n v="4"/>
    <n v="2"/>
    <n v="4"/>
    <n v="3"/>
    <n v="0"/>
    <n v="2"/>
  </r>
  <r>
    <s v="No"/>
    <s v="Travel_Rarely"/>
    <x v="1"/>
    <s v="Current Employees"/>
    <x v="1"/>
    <x v="2"/>
    <s v="STAFF-249"/>
    <n v="249"/>
    <x v="1"/>
    <x v="2"/>
    <x v="1"/>
    <s v="No"/>
    <s v="Y"/>
    <n v="2"/>
    <n v="-2"/>
    <n v="0"/>
    <n v="50"/>
    <n v="0"/>
    <m/>
    <n v="0"/>
    <n v="1"/>
    <n v="328"/>
    <n v="1"/>
    <x v="3"/>
    <n v="1"/>
    <n v="3"/>
    <n v="86"/>
    <n v="2"/>
    <n v="1"/>
    <n v="3"/>
    <n v="3690"/>
    <n v="3425"/>
    <n v="2"/>
    <n v="15"/>
    <x v="0"/>
    <n v="4"/>
    <n v="80"/>
    <n v="1"/>
    <n v="5"/>
    <n v="2"/>
    <n v="3"/>
    <n v="2"/>
    <n v="0"/>
    <n v="2"/>
  </r>
  <r>
    <s v="No"/>
    <s v="Travel_Rarely"/>
    <x v="1"/>
    <s v="Current Employees"/>
    <x v="1"/>
    <x v="2"/>
    <s v="STAFF-250"/>
    <n v="250"/>
    <x v="0"/>
    <x v="3"/>
    <x v="2"/>
    <s v="No"/>
    <s v="Y"/>
    <n v="3"/>
    <n v="-2"/>
    <n v="0"/>
    <n v="53"/>
    <n v="0"/>
    <m/>
    <n v="0"/>
    <n v="1"/>
    <n v="1084"/>
    <n v="13"/>
    <x v="0"/>
    <n v="1"/>
    <n v="4"/>
    <n v="57"/>
    <n v="4"/>
    <n v="2"/>
    <n v="3"/>
    <n v="4450"/>
    <n v="26250"/>
    <n v="1"/>
    <n v="11"/>
    <x v="0"/>
    <n v="3"/>
    <n v="80"/>
    <n v="2"/>
    <n v="5"/>
    <n v="3"/>
    <n v="4"/>
    <n v="2"/>
    <n v="1"/>
    <n v="3"/>
  </r>
  <r>
    <s v="No"/>
    <s v="Travel_Rarely"/>
    <x v="2"/>
    <s v="Current Employees"/>
    <x v="1"/>
    <x v="2"/>
    <s v="STAFF-252"/>
    <n v="252"/>
    <x v="0"/>
    <x v="1"/>
    <x v="1"/>
    <s v="No"/>
    <s v="Y"/>
    <n v="5"/>
    <n v="-2"/>
    <n v="0"/>
    <n v="33"/>
    <n v="0"/>
    <m/>
    <n v="0"/>
    <n v="1"/>
    <n v="931"/>
    <n v="14"/>
    <x v="3"/>
    <n v="1"/>
    <n v="4"/>
    <n v="72"/>
    <n v="3"/>
    <n v="1"/>
    <n v="3"/>
    <n v="2756"/>
    <n v="4673"/>
    <n v="1"/>
    <n v="13"/>
    <x v="0"/>
    <n v="4"/>
    <n v="80"/>
    <n v="1"/>
    <n v="8"/>
    <n v="3"/>
    <n v="8"/>
    <n v="7"/>
    <n v="1"/>
    <n v="6"/>
  </r>
  <r>
    <s v="No"/>
    <s v="Travel_Rarely"/>
    <x v="0"/>
    <s v="Current Employees"/>
    <x v="1"/>
    <x v="2"/>
    <s v="STAFF-253"/>
    <n v="253"/>
    <x v="0"/>
    <x v="5"/>
    <x v="1"/>
    <s v="No"/>
    <s v="Y"/>
    <n v="2"/>
    <n v="-2"/>
    <n v="0"/>
    <n v="40"/>
    <n v="0"/>
    <m/>
    <n v="0"/>
    <n v="1"/>
    <n v="989"/>
    <n v="4"/>
    <x v="1"/>
    <n v="1"/>
    <n v="4"/>
    <n v="46"/>
    <n v="3"/>
    <n v="5"/>
    <n v="3"/>
    <n v="19033"/>
    <n v="6499"/>
    <n v="1"/>
    <n v="14"/>
    <x v="0"/>
    <n v="2"/>
    <n v="80"/>
    <n v="1"/>
    <n v="21"/>
    <n v="3"/>
    <n v="20"/>
    <n v="8"/>
    <n v="9"/>
    <n v="9"/>
  </r>
  <r>
    <s v="No"/>
    <s v="Travel_Rarely"/>
    <x v="3"/>
    <s v="Current Employees"/>
    <x v="1"/>
    <x v="2"/>
    <s v="STAFF-254"/>
    <n v="254"/>
    <x v="1"/>
    <x v="7"/>
    <x v="0"/>
    <s v="No"/>
    <s v="Y"/>
    <n v="3"/>
    <n v="-2"/>
    <n v="0"/>
    <n v="55"/>
    <n v="0"/>
    <m/>
    <n v="0"/>
    <n v="1"/>
    <n v="692"/>
    <n v="14"/>
    <x v="2"/>
    <n v="1"/>
    <n v="3"/>
    <n v="61"/>
    <n v="4"/>
    <n v="5"/>
    <n v="3"/>
    <n v="18722"/>
    <n v="13339"/>
    <n v="8"/>
    <n v="11"/>
    <x v="0"/>
    <n v="4"/>
    <n v="80"/>
    <n v="0"/>
    <n v="36"/>
    <n v="3"/>
    <n v="24"/>
    <n v="15"/>
    <n v="2"/>
    <n v="15"/>
  </r>
  <r>
    <s v="No"/>
    <s v="Travel_Frequently"/>
    <x v="2"/>
    <s v="Current Employees"/>
    <x v="1"/>
    <x v="0"/>
    <s v="STAFF-256"/>
    <n v="256"/>
    <x v="1"/>
    <x v="3"/>
    <x v="1"/>
    <s v="No"/>
    <s v="Y"/>
    <n v="2"/>
    <n v="-2"/>
    <n v="0"/>
    <n v="34"/>
    <n v="0"/>
    <m/>
    <n v="0"/>
    <n v="1"/>
    <n v="1069"/>
    <n v="2"/>
    <x v="1"/>
    <n v="1"/>
    <n v="4"/>
    <n v="45"/>
    <n v="2"/>
    <n v="2"/>
    <n v="2"/>
    <n v="9547"/>
    <n v="14074"/>
    <n v="1"/>
    <n v="17"/>
    <x v="0"/>
    <n v="3"/>
    <n v="80"/>
    <n v="0"/>
    <n v="10"/>
    <n v="2"/>
    <n v="10"/>
    <n v="9"/>
    <n v="1"/>
    <n v="9"/>
  </r>
  <r>
    <s v="No"/>
    <s v="Travel_Rarely"/>
    <x v="1"/>
    <s v="Current Employees"/>
    <x v="1"/>
    <x v="2"/>
    <s v="STAFF-258"/>
    <n v="258"/>
    <x v="0"/>
    <x v="4"/>
    <x v="0"/>
    <s v="No"/>
    <s v="Y"/>
    <n v="6"/>
    <n v="-2"/>
    <n v="0"/>
    <n v="51"/>
    <n v="0"/>
    <m/>
    <n v="0"/>
    <n v="1"/>
    <n v="313"/>
    <n v="3"/>
    <x v="3"/>
    <n v="1"/>
    <n v="4"/>
    <n v="98"/>
    <n v="3"/>
    <n v="4"/>
    <n v="3"/>
    <n v="13734"/>
    <n v="7192"/>
    <n v="3"/>
    <n v="18"/>
    <x v="0"/>
    <n v="3"/>
    <n v="80"/>
    <n v="0"/>
    <n v="21"/>
    <n v="3"/>
    <n v="7"/>
    <n v="7"/>
    <n v="1"/>
    <n v="0"/>
  </r>
  <r>
    <s v="No"/>
    <s v="Travel_Rarely"/>
    <x v="1"/>
    <s v="Current Employees"/>
    <x v="1"/>
    <x v="0"/>
    <s v="STAFF-259"/>
    <n v="259"/>
    <x v="1"/>
    <x v="5"/>
    <x v="1"/>
    <s v="No"/>
    <s v="Y"/>
    <n v="5"/>
    <n v="-2"/>
    <n v="0"/>
    <n v="52"/>
    <n v="0"/>
    <m/>
    <n v="0"/>
    <n v="1"/>
    <n v="699"/>
    <n v="1"/>
    <x v="2"/>
    <n v="1"/>
    <n v="3"/>
    <n v="65"/>
    <n v="2"/>
    <n v="5"/>
    <n v="2"/>
    <n v="19999"/>
    <n v="5678"/>
    <n v="0"/>
    <n v="14"/>
    <x v="0"/>
    <n v="1"/>
    <n v="80"/>
    <n v="1"/>
    <n v="34"/>
    <n v="3"/>
    <n v="33"/>
    <n v="18"/>
    <n v="11"/>
    <n v="9"/>
  </r>
  <r>
    <s v="No"/>
    <s v="Travel_Rarely"/>
    <x v="2"/>
    <s v="Current Employees"/>
    <x v="1"/>
    <x v="2"/>
    <s v="STAFF-260"/>
    <n v="260"/>
    <x v="0"/>
    <x v="1"/>
    <x v="0"/>
    <s v="No"/>
    <s v="Y"/>
    <n v="2"/>
    <n v="-2"/>
    <n v="0"/>
    <n v="27"/>
    <n v="0"/>
    <m/>
    <n v="0"/>
    <n v="1"/>
    <n v="894"/>
    <n v="9"/>
    <x v="3"/>
    <n v="1"/>
    <n v="4"/>
    <n v="99"/>
    <n v="3"/>
    <n v="1"/>
    <n v="3"/>
    <n v="2279"/>
    <n v="11781"/>
    <n v="1"/>
    <n v="16"/>
    <x v="0"/>
    <n v="4"/>
    <n v="80"/>
    <n v="0"/>
    <n v="7"/>
    <n v="2"/>
    <n v="7"/>
    <n v="7"/>
    <n v="0"/>
    <n v="3"/>
  </r>
  <r>
    <s v="Yes"/>
    <s v="Travel_Rarely"/>
    <x v="0"/>
    <s v="Ex-Employees"/>
    <x v="1"/>
    <x v="0"/>
    <s v="STAFF-261"/>
    <n v="261"/>
    <x v="1"/>
    <x v="3"/>
    <x v="1"/>
    <s v="Yes"/>
    <s v="Y"/>
    <n v="1"/>
    <n v="-2"/>
    <n v="0"/>
    <n v="35"/>
    <n v="1"/>
    <n v="1"/>
    <n v="1"/>
    <n v="0"/>
    <n v="556"/>
    <n v="23"/>
    <x v="0"/>
    <n v="1"/>
    <n v="2"/>
    <n v="50"/>
    <n v="2"/>
    <n v="2"/>
    <n v="2"/>
    <n v="5916"/>
    <n v="15497"/>
    <n v="3"/>
    <n v="13"/>
    <x v="0"/>
    <n v="1"/>
    <n v="80"/>
    <n v="0"/>
    <n v="8"/>
    <n v="3"/>
    <n v="1"/>
    <n v="0"/>
    <n v="0"/>
    <n v="1"/>
  </r>
  <r>
    <s v="No"/>
    <s v="Non-Travel"/>
    <x v="0"/>
    <s v="Current Employees"/>
    <x v="1"/>
    <x v="2"/>
    <s v="STAFF-262"/>
    <n v="262"/>
    <x v="1"/>
    <x v="1"/>
    <x v="2"/>
    <s v="No"/>
    <s v="Y"/>
    <n v="3"/>
    <n v="-2"/>
    <n v="0"/>
    <n v="43"/>
    <n v="0"/>
    <m/>
    <n v="0"/>
    <n v="1"/>
    <n v="1344"/>
    <n v="7"/>
    <x v="3"/>
    <n v="1"/>
    <n v="4"/>
    <n v="37"/>
    <n v="4"/>
    <n v="1"/>
    <n v="4"/>
    <n v="2089"/>
    <n v="5228"/>
    <n v="4"/>
    <n v="14"/>
    <x v="0"/>
    <n v="4"/>
    <n v="80"/>
    <n v="3"/>
    <n v="7"/>
    <n v="4"/>
    <n v="5"/>
    <n v="4"/>
    <n v="2"/>
    <n v="2"/>
  </r>
  <r>
    <s v="No"/>
    <s v="Non-Travel"/>
    <x v="1"/>
    <s v="Current Employees"/>
    <x v="1"/>
    <x v="2"/>
    <s v="STAFF-264"/>
    <n v="264"/>
    <x v="1"/>
    <x v="5"/>
    <x v="1"/>
    <s v="No"/>
    <s v="Y"/>
    <n v="1"/>
    <n v="-2"/>
    <n v="0"/>
    <n v="45"/>
    <n v="0"/>
    <m/>
    <n v="0"/>
    <n v="1"/>
    <n v="1195"/>
    <n v="2"/>
    <x v="0"/>
    <n v="1"/>
    <n v="1"/>
    <n v="65"/>
    <n v="2"/>
    <n v="4"/>
    <n v="4"/>
    <n v="16792"/>
    <n v="20462"/>
    <n v="9"/>
    <n v="23"/>
    <x v="1"/>
    <n v="4"/>
    <n v="80"/>
    <n v="1"/>
    <n v="22"/>
    <n v="3"/>
    <n v="20"/>
    <n v="8"/>
    <n v="11"/>
    <n v="8"/>
  </r>
  <r>
    <s v="No"/>
    <s v="Travel_Rarely"/>
    <x v="0"/>
    <s v="Current Employees"/>
    <x v="1"/>
    <x v="0"/>
    <s v="STAFF-267"/>
    <n v="267"/>
    <x v="1"/>
    <x v="1"/>
    <x v="1"/>
    <s v="Yes"/>
    <s v="Y"/>
    <n v="3"/>
    <n v="-2"/>
    <n v="0"/>
    <n v="37"/>
    <n v="0"/>
    <m/>
    <n v="0"/>
    <n v="1"/>
    <n v="290"/>
    <n v="21"/>
    <x v="3"/>
    <n v="1"/>
    <n v="2"/>
    <n v="65"/>
    <n v="4"/>
    <n v="1"/>
    <n v="2"/>
    <n v="3564"/>
    <n v="22977"/>
    <n v="1"/>
    <n v="12"/>
    <x v="0"/>
    <n v="1"/>
    <n v="80"/>
    <n v="1"/>
    <n v="8"/>
    <n v="2"/>
    <n v="8"/>
    <n v="7"/>
    <n v="1"/>
    <n v="7"/>
  </r>
  <r>
    <s v="No"/>
    <s v="Travel_Frequently"/>
    <x v="0"/>
    <s v="Current Employees"/>
    <x v="1"/>
    <x v="2"/>
    <s v="STAFF-269"/>
    <n v="269"/>
    <x v="0"/>
    <x v="2"/>
    <x v="0"/>
    <s v="No"/>
    <s v="Y"/>
    <n v="5"/>
    <n v="-2"/>
    <n v="0"/>
    <n v="35"/>
    <n v="0"/>
    <m/>
    <n v="0"/>
    <n v="1"/>
    <n v="138"/>
    <n v="2"/>
    <x v="3"/>
    <n v="1"/>
    <n v="2"/>
    <n v="37"/>
    <n v="3"/>
    <n v="2"/>
    <n v="3"/>
    <n v="4425"/>
    <n v="15986"/>
    <n v="5"/>
    <n v="11"/>
    <x v="0"/>
    <n v="4"/>
    <n v="80"/>
    <n v="0"/>
    <n v="10"/>
    <n v="3"/>
    <n v="6"/>
    <n v="2"/>
    <n v="1"/>
    <n v="2"/>
  </r>
  <r>
    <s v="No"/>
    <s v="Non-Travel"/>
    <x v="0"/>
    <s v="Current Employees"/>
    <x v="1"/>
    <x v="2"/>
    <s v="STAFF-270"/>
    <n v="270"/>
    <x v="0"/>
    <x v="3"/>
    <x v="2"/>
    <s v="No"/>
    <s v="Y"/>
    <n v="5"/>
    <n v="-2"/>
    <n v="0"/>
    <n v="42"/>
    <n v="0"/>
    <m/>
    <n v="0"/>
    <n v="1"/>
    <n v="926"/>
    <n v="21"/>
    <x v="0"/>
    <n v="1"/>
    <n v="3"/>
    <n v="36"/>
    <n v="3"/>
    <n v="2"/>
    <n v="3"/>
    <n v="5265"/>
    <n v="16439"/>
    <n v="2"/>
    <n v="16"/>
    <x v="0"/>
    <n v="2"/>
    <n v="80"/>
    <n v="1"/>
    <n v="11"/>
    <n v="3"/>
    <n v="5"/>
    <n v="3"/>
    <n v="0"/>
    <n v="2"/>
  </r>
  <r>
    <s v="No"/>
    <s v="Travel_Rarely"/>
    <x v="0"/>
    <s v="Current Employees"/>
    <x v="1"/>
    <x v="0"/>
    <s v="STAFF-271"/>
    <n v="271"/>
    <x v="1"/>
    <x v="3"/>
    <x v="1"/>
    <s v="No"/>
    <s v="Y"/>
    <n v="3"/>
    <n v="-2"/>
    <n v="0"/>
    <n v="38"/>
    <n v="0"/>
    <m/>
    <n v="0"/>
    <n v="1"/>
    <n v="1261"/>
    <n v="2"/>
    <x v="2"/>
    <n v="1"/>
    <n v="4"/>
    <n v="88"/>
    <n v="3"/>
    <n v="2"/>
    <n v="2"/>
    <n v="6553"/>
    <n v="7259"/>
    <n v="9"/>
    <n v="14"/>
    <x v="0"/>
    <n v="2"/>
    <n v="80"/>
    <n v="0"/>
    <n v="14"/>
    <n v="3"/>
    <n v="1"/>
    <n v="0"/>
    <n v="0"/>
    <n v="0"/>
  </r>
  <r>
    <s v="No"/>
    <s v="Travel_Rarely"/>
    <x v="0"/>
    <s v="Current Employees"/>
    <x v="1"/>
    <x v="4"/>
    <s v="STAFF-273"/>
    <n v="273"/>
    <x v="1"/>
    <x v="3"/>
    <x v="1"/>
    <s v="No"/>
    <s v="Y"/>
    <n v="3"/>
    <n v="-2"/>
    <n v="0"/>
    <n v="38"/>
    <n v="0"/>
    <m/>
    <n v="0"/>
    <n v="1"/>
    <n v="1084"/>
    <n v="29"/>
    <x v="3"/>
    <n v="1"/>
    <n v="4"/>
    <n v="54"/>
    <n v="3"/>
    <n v="2"/>
    <n v="4"/>
    <n v="6261"/>
    <n v="4185"/>
    <n v="3"/>
    <n v="18"/>
    <x v="0"/>
    <n v="1"/>
    <n v="80"/>
    <n v="1"/>
    <n v="9"/>
    <n v="1"/>
    <n v="7"/>
    <n v="7"/>
    <n v="1"/>
    <n v="7"/>
  </r>
  <r>
    <s v="No"/>
    <s v="Travel_Frequently"/>
    <x v="2"/>
    <s v="Current Employees"/>
    <x v="1"/>
    <x v="4"/>
    <s v="STAFF-274"/>
    <n v="274"/>
    <x v="1"/>
    <x v="3"/>
    <x v="1"/>
    <s v="No"/>
    <s v="Y"/>
    <n v="1"/>
    <n v="-2"/>
    <n v="0"/>
    <n v="27"/>
    <n v="0"/>
    <m/>
    <n v="0"/>
    <n v="1"/>
    <n v="472"/>
    <n v="1"/>
    <x v="1"/>
    <n v="1"/>
    <n v="3"/>
    <n v="60"/>
    <n v="2"/>
    <n v="2"/>
    <n v="4"/>
    <n v="4298"/>
    <n v="9679"/>
    <n v="5"/>
    <n v="19"/>
    <x v="0"/>
    <n v="3"/>
    <n v="80"/>
    <n v="1"/>
    <n v="6"/>
    <n v="3"/>
    <n v="2"/>
    <n v="2"/>
    <n v="2"/>
    <n v="0"/>
  </r>
  <r>
    <s v="No"/>
    <s v="Non-Travel"/>
    <x v="1"/>
    <s v="Current Employees"/>
    <x v="1"/>
    <x v="0"/>
    <s v="STAFF-275"/>
    <n v="275"/>
    <x v="1"/>
    <x v="3"/>
    <x v="2"/>
    <s v="Yes"/>
    <s v="Y"/>
    <n v="0"/>
    <n v="-2"/>
    <n v="0"/>
    <n v="49"/>
    <n v="0"/>
    <m/>
    <n v="0"/>
    <n v="1"/>
    <n v="1002"/>
    <n v="18"/>
    <x v="2"/>
    <n v="1"/>
    <n v="4"/>
    <n v="92"/>
    <n v="3"/>
    <n v="2"/>
    <n v="2"/>
    <n v="6804"/>
    <n v="23793"/>
    <n v="1"/>
    <n v="15"/>
    <x v="0"/>
    <n v="1"/>
    <n v="80"/>
    <n v="2"/>
    <n v="7"/>
    <n v="3"/>
    <n v="7"/>
    <n v="7"/>
    <n v="1"/>
    <n v="7"/>
  </r>
  <r>
    <s v="No"/>
    <s v="Travel_Frequently"/>
    <x v="2"/>
    <s v="Current Employees"/>
    <x v="1"/>
    <x v="2"/>
    <s v="STAFF-277"/>
    <n v="277"/>
    <x v="1"/>
    <x v="1"/>
    <x v="2"/>
    <s v="Yes"/>
    <s v="Y"/>
    <n v="4"/>
    <n v="-2"/>
    <n v="0"/>
    <n v="34"/>
    <n v="0"/>
    <m/>
    <n v="0"/>
    <n v="1"/>
    <n v="878"/>
    <n v="10"/>
    <x v="2"/>
    <n v="1"/>
    <n v="4"/>
    <n v="43"/>
    <n v="3"/>
    <n v="1"/>
    <n v="3"/>
    <n v="3815"/>
    <n v="5972"/>
    <n v="1"/>
    <n v="17"/>
    <x v="0"/>
    <n v="4"/>
    <n v="80"/>
    <n v="1"/>
    <n v="5"/>
    <n v="4"/>
    <n v="5"/>
    <n v="3"/>
    <n v="2"/>
    <n v="0"/>
  </r>
  <r>
    <s v="No"/>
    <s v="Travel_Rarely"/>
    <x v="0"/>
    <s v="Current Employees"/>
    <x v="1"/>
    <x v="2"/>
    <s v="STAFF-281"/>
    <n v="281"/>
    <x v="1"/>
    <x v="2"/>
    <x v="1"/>
    <s v="Yes"/>
    <s v="Y"/>
    <n v="2"/>
    <n v="-2"/>
    <n v="0"/>
    <n v="40"/>
    <n v="0"/>
    <m/>
    <n v="0"/>
    <n v="1"/>
    <n v="905"/>
    <n v="19"/>
    <x v="0"/>
    <n v="1"/>
    <n v="3"/>
    <n v="99"/>
    <n v="3"/>
    <n v="2"/>
    <n v="4"/>
    <n v="2741"/>
    <n v="16523"/>
    <n v="8"/>
    <n v="15"/>
    <x v="0"/>
    <n v="3"/>
    <n v="80"/>
    <n v="1"/>
    <n v="15"/>
    <n v="4"/>
    <n v="7"/>
    <n v="2"/>
    <n v="3"/>
    <n v="7"/>
  </r>
  <r>
    <s v="Yes"/>
    <s v="Travel_Rarely"/>
    <x v="0"/>
    <s v="Ex-Employees"/>
    <x v="1"/>
    <x v="2"/>
    <s v="STAFF-282"/>
    <n v="282"/>
    <x v="1"/>
    <x v="4"/>
    <x v="1"/>
    <s v="Yes"/>
    <s v="Y"/>
    <n v="2"/>
    <n v="-2"/>
    <n v="0"/>
    <n v="38"/>
    <n v="1"/>
    <n v="1"/>
    <n v="1"/>
    <n v="0"/>
    <n v="1180"/>
    <n v="29"/>
    <x v="1"/>
    <n v="1"/>
    <n v="2"/>
    <n v="70"/>
    <n v="3"/>
    <n v="2"/>
    <n v="3"/>
    <n v="6673"/>
    <n v="11354"/>
    <n v="7"/>
    <n v="19"/>
    <x v="0"/>
    <n v="2"/>
    <n v="80"/>
    <n v="0"/>
    <n v="17"/>
    <n v="3"/>
    <n v="1"/>
    <n v="0"/>
    <n v="0"/>
    <n v="0"/>
  </r>
  <r>
    <s v="Yes"/>
    <s v="Travel_Rarely"/>
    <x v="2"/>
    <s v="Ex-Employees"/>
    <x v="0"/>
    <x v="3"/>
    <s v="STAFF-283"/>
    <n v="283"/>
    <x v="0"/>
    <x v="0"/>
    <x v="1"/>
    <s v="No"/>
    <s v="Y"/>
    <n v="3"/>
    <n v="-2"/>
    <n v="0"/>
    <n v="29"/>
    <n v="1"/>
    <n v="1"/>
    <n v="1"/>
    <n v="0"/>
    <n v="121"/>
    <n v="27"/>
    <x v="3"/>
    <n v="1"/>
    <n v="2"/>
    <n v="35"/>
    <n v="3"/>
    <n v="3"/>
    <n v="4"/>
    <n v="7639"/>
    <n v="24525"/>
    <n v="1"/>
    <n v="22"/>
    <x v="1"/>
    <n v="4"/>
    <n v="80"/>
    <n v="3"/>
    <n v="10"/>
    <n v="2"/>
    <n v="10"/>
    <n v="4"/>
    <n v="1"/>
    <n v="9"/>
  </r>
  <r>
    <s v="No"/>
    <s v="Travel_Rarely"/>
    <x v="4"/>
    <s v="Current Employees"/>
    <x v="1"/>
    <x v="0"/>
    <s v="STAFF-284"/>
    <n v="284"/>
    <x v="1"/>
    <x v="1"/>
    <x v="2"/>
    <s v="Yes"/>
    <s v="Y"/>
    <n v="2"/>
    <n v="-2"/>
    <n v="0"/>
    <n v="22"/>
    <n v="0"/>
    <m/>
    <n v="0"/>
    <n v="1"/>
    <n v="1136"/>
    <n v="5"/>
    <x v="3"/>
    <n v="1"/>
    <n v="4"/>
    <n v="60"/>
    <n v="4"/>
    <n v="1"/>
    <n v="2"/>
    <n v="2328"/>
    <n v="12392"/>
    <n v="1"/>
    <n v="16"/>
    <x v="0"/>
    <n v="1"/>
    <n v="80"/>
    <n v="1"/>
    <n v="4"/>
    <n v="2"/>
    <n v="4"/>
    <n v="2"/>
    <n v="2"/>
    <n v="2"/>
  </r>
  <r>
    <s v="No"/>
    <s v="Travel_Frequently"/>
    <x v="0"/>
    <s v="Current Employees"/>
    <x v="1"/>
    <x v="2"/>
    <s v="STAFF-286"/>
    <n v="286"/>
    <x v="0"/>
    <x v="2"/>
    <x v="0"/>
    <s v="No"/>
    <s v="Y"/>
    <n v="2"/>
    <n v="-2"/>
    <n v="0"/>
    <n v="36"/>
    <n v="0"/>
    <m/>
    <n v="0"/>
    <n v="1"/>
    <n v="635"/>
    <n v="18"/>
    <x v="1"/>
    <n v="1"/>
    <n v="2"/>
    <n v="73"/>
    <n v="3"/>
    <n v="1"/>
    <n v="4"/>
    <n v="2153"/>
    <n v="7703"/>
    <n v="1"/>
    <n v="13"/>
    <x v="0"/>
    <n v="1"/>
    <n v="80"/>
    <n v="0"/>
    <n v="8"/>
    <n v="3"/>
    <n v="8"/>
    <n v="1"/>
    <n v="1"/>
    <n v="7"/>
  </r>
  <r>
    <s v="No"/>
    <s v="Non-Travel"/>
    <x v="0"/>
    <s v="Current Employees"/>
    <x v="1"/>
    <x v="0"/>
    <s v="STAFF-287"/>
    <n v="287"/>
    <x v="1"/>
    <x v="4"/>
    <x v="1"/>
    <s v="No"/>
    <s v="Y"/>
    <n v="5"/>
    <n v="-2"/>
    <n v="0"/>
    <n v="40"/>
    <n v="0"/>
    <m/>
    <n v="0"/>
    <n v="1"/>
    <n v="1151"/>
    <n v="9"/>
    <x v="4"/>
    <n v="1"/>
    <n v="4"/>
    <n v="63"/>
    <n v="2"/>
    <n v="2"/>
    <n v="2"/>
    <n v="4876"/>
    <n v="14242"/>
    <n v="9"/>
    <n v="14"/>
    <x v="0"/>
    <n v="4"/>
    <n v="80"/>
    <n v="1"/>
    <n v="5"/>
    <n v="1"/>
    <n v="3"/>
    <n v="2"/>
    <n v="0"/>
    <n v="2"/>
  </r>
  <r>
    <s v="No"/>
    <s v="Travel_Rarely"/>
    <x v="1"/>
    <s v="Current Employees"/>
    <x v="1"/>
    <x v="2"/>
    <s v="STAFF-288"/>
    <n v="288"/>
    <x v="1"/>
    <x v="4"/>
    <x v="2"/>
    <s v="No"/>
    <s v="Y"/>
    <n v="3"/>
    <n v="-2"/>
    <n v="0"/>
    <n v="46"/>
    <n v="0"/>
    <m/>
    <n v="0"/>
    <n v="1"/>
    <n v="644"/>
    <n v="1"/>
    <x v="2"/>
    <n v="1"/>
    <n v="4"/>
    <n v="97"/>
    <n v="3"/>
    <n v="3"/>
    <n v="3"/>
    <n v="9396"/>
    <n v="12368"/>
    <n v="7"/>
    <n v="16"/>
    <x v="0"/>
    <n v="3"/>
    <n v="80"/>
    <n v="1"/>
    <n v="17"/>
    <n v="3"/>
    <n v="4"/>
    <n v="2"/>
    <n v="0"/>
    <n v="3"/>
  </r>
  <r>
    <s v="Yes"/>
    <s v="Travel_Rarely"/>
    <x v="2"/>
    <s v="Ex-Employees"/>
    <x v="0"/>
    <x v="2"/>
    <s v="STAFF-291"/>
    <n v="291"/>
    <x v="1"/>
    <x v="0"/>
    <x v="1"/>
    <s v="No"/>
    <s v="Y"/>
    <n v="2"/>
    <n v="-2"/>
    <n v="0"/>
    <n v="32"/>
    <n v="1"/>
    <n v="1"/>
    <n v="1"/>
    <n v="0"/>
    <n v="1045"/>
    <n v="4"/>
    <x v="2"/>
    <n v="1"/>
    <n v="4"/>
    <n v="32"/>
    <n v="1"/>
    <n v="3"/>
    <n v="4"/>
    <n v="10400"/>
    <n v="25812"/>
    <n v="1"/>
    <n v="11"/>
    <x v="0"/>
    <n v="3"/>
    <n v="80"/>
    <n v="0"/>
    <n v="14"/>
    <n v="2"/>
    <n v="14"/>
    <n v="8"/>
    <n v="9"/>
    <n v="8"/>
  </r>
  <r>
    <s v="No"/>
    <s v="Non-Travel"/>
    <x v="2"/>
    <s v="Current Employees"/>
    <x v="1"/>
    <x v="0"/>
    <s v="STAFF-292"/>
    <n v="292"/>
    <x v="1"/>
    <x v="3"/>
    <x v="0"/>
    <s v="No"/>
    <s v="Y"/>
    <n v="2"/>
    <n v="-2"/>
    <n v="0"/>
    <n v="30"/>
    <n v="0"/>
    <m/>
    <n v="0"/>
    <n v="1"/>
    <n v="829"/>
    <n v="1"/>
    <x v="1"/>
    <n v="1"/>
    <n v="3"/>
    <n v="88"/>
    <n v="2"/>
    <n v="3"/>
    <n v="2"/>
    <n v="8474"/>
    <n v="20925"/>
    <n v="1"/>
    <n v="22"/>
    <x v="1"/>
    <n v="3"/>
    <n v="80"/>
    <n v="0"/>
    <n v="12"/>
    <n v="3"/>
    <n v="11"/>
    <n v="8"/>
    <n v="5"/>
    <n v="8"/>
  </r>
  <r>
    <s v="No"/>
    <s v="Travel_Frequently"/>
    <x v="2"/>
    <s v="Current Employees"/>
    <x v="0"/>
    <x v="0"/>
    <s v="STAFF-293"/>
    <n v="293"/>
    <x v="0"/>
    <x v="0"/>
    <x v="0"/>
    <s v="No"/>
    <s v="Y"/>
    <n v="2"/>
    <n v="-2"/>
    <n v="0"/>
    <n v="27"/>
    <n v="0"/>
    <m/>
    <n v="0"/>
    <n v="1"/>
    <n v="1242"/>
    <n v="20"/>
    <x v="3"/>
    <n v="1"/>
    <n v="4"/>
    <n v="90"/>
    <n v="3"/>
    <n v="2"/>
    <n v="2"/>
    <n v="9981"/>
    <n v="12916"/>
    <n v="1"/>
    <n v="14"/>
    <x v="0"/>
    <n v="4"/>
    <n v="80"/>
    <n v="0"/>
    <n v="7"/>
    <n v="3"/>
    <n v="7"/>
    <n v="7"/>
    <n v="0"/>
    <n v="7"/>
  </r>
  <r>
    <s v="No"/>
    <s v="Travel_Rarely"/>
    <x v="1"/>
    <s v="Current Employees"/>
    <x v="1"/>
    <x v="0"/>
    <s v="STAFF-296"/>
    <n v="296"/>
    <x v="1"/>
    <x v="7"/>
    <x v="1"/>
    <s v="No"/>
    <s v="Y"/>
    <n v="5"/>
    <n v="-2"/>
    <n v="0"/>
    <n v="51"/>
    <n v="0"/>
    <m/>
    <n v="0"/>
    <n v="1"/>
    <n v="1469"/>
    <n v="8"/>
    <x v="2"/>
    <n v="1"/>
    <n v="2"/>
    <n v="81"/>
    <n v="2"/>
    <n v="3"/>
    <n v="2"/>
    <n v="12490"/>
    <n v="15736"/>
    <n v="5"/>
    <n v="16"/>
    <x v="0"/>
    <n v="4"/>
    <n v="80"/>
    <n v="2"/>
    <n v="16"/>
    <n v="1"/>
    <n v="10"/>
    <n v="9"/>
    <n v="4"/>
    <n v="7"/>
  </r>
  <r>
    <s v="Yes"/>
    <s v="Travel_Rarely"/>
    <x v="2"/>
    <s v="Ex-Employees"/>
    <x v="1"/>
    <x v="4"/>
    <s v="STAFF-297"/>
    <n v="297"/>
    <x v="0"/>
    <x v="1"/>
    <x v="0"/>
    <s v="Yes"/>
    <s v="Y"/>
    <n v="5"/>
    <n v="-2"/>
    <n v="0"/>
    <n v="30"/>
    <n v="1"/>
    <n v="1"/>
    <n v="1"/>
    <n v="0"/>
    <n v="1005"/>
    <n v="3"/>
    <x v="3"/>
    <n v="1"/>
    <n v="4"/>
    <n v="88"/>
    <n v="3"/>
    <n v="1"/>
    <n v="4"/>
    <n v="2657"/>
    <n v="8556"/>
    <n v="5"/>
    <n v="11"/>
    <x v="0"/>
    <n v="3"/>
    <n v="80"/>
    <n v="0"/>
    <n v="8"/>
    <n v="3"/>
    <n v="5"/>
    <n v="2"/>
    <n v="0"/>
    <n v="4"/>
  </r>
  <r>
    <s v="No"/>
    <s v="Travel_Rarely"/>
    <x v="0"/>
    <s v="Current Employees"/>
    <x v="0"/>
    <x v="0"/>
    <s v="STAFF-298"/>
    <n v="298"/>
    <x v="0"/>
    <x v="5"/>
    <x v="0"/>
    <s v="Yes"/>
    <s v="Y"/>
    <n v="3"/>
    <n v="-2"/>
    <n v="0"/>
    <n v="41"/>
    <n v="0"/>
    <m/>
    <n v="0"/>
    <n v="1"/>
    <n v="896"/>
    <n v="6"/>
    <x v="3"/>
    <n v="1"/>
    <n v="4"/>
    <n v="75"/>
    <n v="3"/>
    <n v="3"/>
    <n v="2"/>
    <n v="13591"/>
    <n v="14674"/>
    <n v="3"/>
    <n v="18"/>
    <x v="0"/>
    <n v="3"/>
    <n v="80"/>
    <n v="0"/>
    <n v="16"/>
    <n v="3"/>
    <n v="1"/>
    <n v="0"/>
    <n v="0"/>
    <n v="0"/>
  </r>
  <r>
    <s v="Yes"/>
    <s v="Travel_Frequently"/>
    <x v="2"/>
    <s v="Ex-Employees"/>
    <x v="0"/>
    <x v="3"/>
    <s v="STAFF-299"/>
    <n v="299"/>
    <x v="0"/>
    <x v="0"/>
    <x v="0"/>
    <s v="No"/>
    <s v="Y"/>
    <n v="5"/>
    <n v="-2"/>
    <n v="0"/>
    <n v="30"/>
    <n v="1"/>
    <n v="1"/>
    <n v="1"/>
    <n v="0"/>
    <n v="334"/>
    <n v="26"/>
    <x v="2"/>
    <n v="1"/>
    <n v="3"/>
    <n v="52"/>
    <n v="2"/>
    <n v="2"/>
    <n v="3"/>
    <n v="6696"/>
    <n v="22967"/>
    <n v="5"/>
    <n v="15"/>
    <x v="0"/>
    <n v="3"/>
    <n v="80"/>
    <n v="0"/>
    <n v="9"/>
    <n v="2"/>
    <n v="6"/>
    <n v="3"/>
    <n v="0"/>
    <n v="1"/>
  </r>
  <r>
    <s v="Yes"/>
    <s v="Travel_Rarely"/>
    <x v="2"/>
    <s v="Ex-Employees"/>
    <x v="1"/>
    <x v="4"/>
    <s v="STAFF-300"/>
    <n v="300"/>
    <x v="1"/>
    <x v="1"/>
    <x v="0"/>
    <s v="No"/>
    <s v="Y"/>
    <n v="1"/>
    <n v="-2"/>
    <n v="0"/>
    <n v="29"/>
    <n v="1"/>
    <n v="1"/>
    <n v="1"/>
    <n v="0"/>
    <n v="992"/>
    <n v="1"/>
    <x v="3"/>
    <n v="1"/>
    <n v="3"/>
    <n v="85"/>
    <n v="3"/>
    <n v="1"/>
    <n v="4"/>
    <n v="2058"/>
    <n v="19757"/>
    <n v="0"/>
    <n v="14"/>
    <x v="0"/>
    <n v="4"/>
    <n v="80"/>
    <n v="0"/>
    <n v="7"/>
    <n v="2"/>
    <n v="6"/>
    <n v="2"/>
    <n v="1"/>
    <n v="5"/>
  </r>
  <r>
    <s v="No"/>
    <s v="Non-Travel"/>
    <x v="1"/>
    <s v="Current Employees"/>
    <x v="0"/>
    <x v="2"/>
    <s v="STAFF-302"/>
    <n v="302"/>
    <x v="0"/>
    <x v="0"/>
    <x v="0"/>
    <s v="No"/>
    <s v="Y"/>
    <n v="2"/>
    <n v="-2"/>
    <n v="0"/>
    <n v="45"/>
    <n v="0"/>
    <m/>
    <n v="0"/>
    <n v="1"/>
    <n v="1052"/>
    <n v="6"/>
    <x v="3"/>
    <n v="1"/>
    <n v="4"/>
    <n v="57"/>
    <n v="2"/>
    <n v="3"/>
    <n v="4"/>
    <n v="8865"/>
    <n v="16840"/>
    <n v="6"/>
    <n v="12"/>
    <x v="0"/>
    <n v="4"/>
    <n v="80"/>
    <n v="0"/>
    <n v="23"/>
    <n v="3"/>
    <n v="19"/>
    <n v="7"/>
    <n v="12"/>
    <n v="8"/>
  </r>
  <r>
    <s v="No"/>
    <s v="Travel_Rarely"/>
    <x v="1"/>
    <s v="Current Employees"/>
    <x v="0"/>
    <x v="3"/>
    <s v="STAFF-303"/>
    <n v="303"/>
    <x v="0"/>
    <x v="0"/>
    <x v="1"/>
    <s v="No"/>
    <s v="Y"/>
    <n v="4"/>
    <n v="-2"/>
    <n v="0"/>
    <n v="54"/>
    <n v="0"/>
    <m/>
    <n v="0"/>
    <n v="1"/>
    <n v="1147"/>
    <n v="3"/>
    <x v="3"/>
    <n v="1"/>
    <n v="4"/>
    <n v="52"/>
    <n v="3"/>
    <n v="2"/>
    <n v="1"/>
    <n v="5940"/>
    <n v="17011"/>
    <n v="2"/>
    <n v="14"/>
    <x v="0"/>
    <n v="4"/>
    <n v="80"/>
    <n v="1"/>
    <n v="16"/>
    <n v="3"/>
    <n v="6"/>
    <n v="2"/>
    <n v="0"/>
    <n v="5"/>
  </r>
  <r>
    <s v="No"/>
    <s v="Travel_Rarely"/>
    <x v="0"/>
    <s v="Current Employees"/>
    <x v="1"/>
    <x v="0"/>
    <s v="STAFF-304"/>
    <n v="304"/>
    <x v="1"/>
    <x v="2"/>
    <x v="0"/>
    <s v="No"/>
    <s v="Y"/>
    <n v="3"/>
    <n v="-2"/>
    <n v="0"/>
    <n v="36"/>
    <n v="0"/>
    <m/>
    <n v="0"/>
    <n v="1"/>
    <n v="1396"/>
    <n v="5"/>
    <x v="0"/>
    <n v="1"/>
    <n v="4"/>
    <n v="62"/>
    <n v="3"/>
    <n v="2"/>
    <n v="2"/>
    <n v="5914"/>
    <n v="9945"/>
    <n v="8"/>
    <n v="16"/>
    <x v="0"/>
    <n v="4"/>
    <n v="80"/>
    <n v="0"/>
    <n v="16"/>
    <n v="4"/>
    <n v="13"/>
    <n v="11"/>
    <n v="3"/>
    <n v="7"/>
  </r>
  <r>
    <s v="No"/>
    <s v="Travel_Rarely"/>
    <x v="2"/>
    <s v="Current Employees"/>
    <x v="1"/>
    <x v="2"/>
    <s v="STAFF-305"/>
    <n v="305"/>
    <x v="0"/>
    <x v="1"/>
    <x v="1"/>
    <s v="No"/>
    <s v="Y"/>
    <n v="3"/>
    <n v="-2"/>
    <n v="0"/>
    <n v="33"/>
    <n v="0"/>
    <m/>
    <n v="0"/>
    <n v="1"/>
    <n v="147"/>
    <n v="4"/>
    <x v="2"/>
    <n v="1"/>
    <n v="3"/>
    <n v="47"/>
    <n v="2"/>
    <n v="1"/>
    <n v="3"/>
    <n v="2622"/>
    <n v="13248"/>
    <n v="6"/>
    <n v="21"/>
    <x v="1"/>
    <n v="4"/>
    <n v="80"/>
    <n v="0"/>
    <n v="7"/>
    <n v="3"/>
    <n v="3"/>
    <n v="2"/>
    <n v="1"/>
    <n v="1"/>
  </r>
  <r>
    <s v="No"/>
    <s v="Travel_Frequently"/>
    <x v="0"/>
    <s v="Current Employees"/>
    <x v="1"/>
    <x v="1"/>
    <s v="STAFF-306"/>
    <n v="306"/>
    <x v="1"/>
    <x v="7"/>
    <x v="2"/>
    <s v="Yes"/>
    <s v="Y"/>
    <n v="1"/>
    <n v="-2"/>
    <n v="0"/>
    <n v="37"/>
    <n v="0"/>
    <m/>
    <n v="0"/>
    <n v="1"/>
    <n v="663"/>
    <n v="11"/>
    <x v="3"/>
    <n v="1"/>
    <n v="2"/>
    <n v="47"/>
    <n v="3"/>
    <n v="3"/>
    <n v="4"/>
    <n v="12185"/>
    <n v="10056"/>
    <n v="1"/>
    <n v="14"/>
    <x v="0"/>
    <n v="3"/>
    <n v="80"/>
    <n v="3"/>
    <n v="10"/>
    <n v="3"/>
    <n v="10"/>
    <n v="8"/>
    <n v="0"/>
    <n v="7"/>
  </r>
  <r>
    <s v="No"/>
    <s v="Travel_Rarely"/>
    <x v="0"/>
    <s v="Current Employees"/>
    <x v="0"/>
    <x v="0"/>
    <s v="STAFF-307"/>
    <n v="307"/>
    <x v="1"/>
    <x v="0"/>
    <x v="2"/>
    <s v="No"/>
    <s v="Y"/>
    <n v="6"/>
    <n v="-2"/>
    <n v="0"/>
    <n v="38"/>
    <n v="0"/>
    <m/>
    <n v="0"/>
    <n v="1"/>
    <n v="119"/>
    <n v="3"/>
    <x v="3"/>
    <n v="1"/>
    <n v="1"/>
    <n v="76"/>
    <n v="3"/>
    <n v="3"/>
    <n v="2"/>
    <n v="10609"/>
    <n v="9647"/>
    <n v="0"/>
    <n v="12"/>
    <x v="0"/>
    <n v="3"/>
    <n v="80"/>
    <n v="2"/>
    <n v="17"/>
    <n v="2"/>
    <n v="16"/>
    <n v="10"/>
    <n v="5"/>
    <n v="13"/>
  </r>
  <r>
    <s v="No"/>
    <s v="Non-Travel"/>
    <x v="2"/>
    <s v="Current Employees"/>
    <x v="1"/>
    <x v="2"/>
    <s v="STAFF-308"/>
    <n v="308"/>
    <x v="1"/>
    <x v="3"/>
    <x v="1"/>
    <s v="No"/>
    <s v="Y"/>
    <n v="2"/>
    <n v="-2"/>
    <n v="0"/>
    <n v="31"/>
    <n v="0"/>
    <m/>
    <n v="0"/>
    <n v="1"/>
    <n v="979"/>
    <n v="1"/>
    <x v="2"/>
    <n v="1"/>
    <n v="3"/>
    <n v="90"/>
    <n v="1"/>
    <n v="2"/>
    <n v="3"/>
    <n v="4345"/>
    <n v="4381"/>
    <n v="0"/>
    <n v="12"/>
    <x v="0"/>
    <n v="4"/>
    <n v="80"/>
    <n v="1"/>
    <n v="6"/>
    <n v="3"/>
    <n v="5"/>
    <n v="4"/>
    <n v="1"/>
    <n v="4"/>
  </r>
  <r>
    <s v="No"/>
    <s v="Travel_Rarely"/>
    <x v="3"/>
    <s v="Current Employees"/>
    <x v="1"/>
    <x v="0"/>
    <s v="STAFF-309"/>
    <n v="309"/>
    <x v="1"/>
    <x v="1"/>
    <x v="1"/>
    <s v="No"/>
    <s v="Y"/>
    <n v="6"/>
    <n v="-2"/>
    <n v="0"/>
    <n v="59"/>
    <n v="0"/>
    <m/>
    <n v="0"/>
    <n v="1"/>
    <n v="142"/>
    <n v="3"/>
    <x v="3"/>
    <n v="1"/>
    <n v="3"/>
    <n v="70"/>
    <n v="2"/>
    <n v="1"/>
    <n v="2"/>
    <n v="2177"/>
    <n v="8456"/>
    <n v="3"/>
    <n v="17"/>
    <x v="0"/>
    <n v="1"/>
    <n v="80"/>
    <n v="1"/>
    <n v="7"/>
    <n v="3"/>
    <n v="1"/>
    <n v="0"/>
    <n v="0"/>
    <n v="0"/>
  </r>
  <r>
    <s v="No"/>
    <s v="Travel_Frequently"/>
    <x v="0"/>
    <s v="Current Employees"/>
    <x v="0"/>
    <x v="3"/>
    <s v="STAFF-311"/>
    <n v="311"/>
    <x v="1"/>
    <x v="6"/>
    <x v="2"/>
    <s v="No"/>
    <s v="Y"/>
    <n v="2"/>
    <n v="-2"/>
    <n v="0"/>
    <n v="37"/>
    <n v="0"/>
    <m/>
    <n v="0"/>
    <n v="1"/>
    <n v="319"/>
    <n v="4"/>
    <x v="2"/>
    <n v="1"/>
    <n v="1"/>
    <n v="41"/>
    <n v="3"/>
    <n v="1"/>
    <n v="1"/>
    <n v="2793"/>
    <n v="2539"/>
    <n v="4"/>
    <n v="17"/>
    <x v="0"/>
    <n v="3"/>
    <n v="80"/>
    <n v="1"/>
    <n v="13"/>
    <n v="3"/>
    <n v="9"/>
    <n v="8"/>
    <n v="5"/>
    <n v="8"/>
  </r>
  <r>
    <s v="No"/>
    <s v="Travel_Frequently"/>
    <x v="2"/>
    <s v="Current Employees"/>
    <x v="0"/>
    <x v="2"/>
    <s v="STAFF-312"/>
    <n v="312"/>
    <x v="0"/>
    <x v="0"/>
    <x v="1"/>
    <s v="No"/>
    <s v="Y"/>
    <n v="5"/>
    <n v="-2"/>
    <n v="0"/>
    <n v="29"/>
    <n v="0"/>
    <m/>
    <n v="0"/>
    <n v="1"/>
    <n v="1413"/>
    <n v="1"/>
    <x v="1"/>
    <n v="1"/>
    <n v="2"/>
    <n v="42"/>
    <n v="3"/>
    <n v="3"/>
    <n v="4"/>
    <n v="7918"/>
    <n v="6599"/>
    <n v="1"/>
    <n v="14"/>
    <x v="0"/>
    <n v="4"/>
    <n v="80"/>
    <n v="1"/>
    <n v="11"/>
    <n v="3"/>
    <n v="11"/>
    <n v="10"/>
    <n v="4"/>
    <n v="1"/>
  </r>
  <r>
    <s v="No"/>
    <s v="Travel_Frequently"/>
    <x v="0"/>
    <s v="Current Employees"/>
    <x v="0"/>
    <x v="3"/>
    <s v="STAFF-314"/>
    <n v="314"/>
    <x v="0"/>
    <x v="0"/>
    <x v="0"/>
    <s v="No"/>
    <s v="Y"/>
    <n v="3"/>
    <n v="-2"/>
    <n v="0"/>
    <n v="35"/>
    <n v="0"/>
    <m/>
    <n v="0"/>
    <n v="1"/>
    <n v="944"/>
    <n v="1"/>
    <x v="3"/>
    <n v="1"/>
    <n v="3"/>
    <n v="92"/>
    <n v="3"/>
    <n v="3"/>
    <n v="1"/>
    <n v="8789"/>
    <n v="9096"/>
    <n v="1"/>
    <n v="14"/>
    <x v="0"/>
    <n v="1"/>
    <n v="80"/>
    <n v="0"/>
    <n v="10"/>
    <n v="4"/>
    <n v="10"/>
    <n v="7"/>
    <n v="0"/>
    <n v="8"/>
  </r>
  <r>
    <s v="Yes"/>
    <s v="Travel_Rarely"/>
    <x v="2"/>
    <s v="Ex-Employees"/>
    <x v="1"/>
    <x v="2"/>
    <s v="STAFF-315"/>
    <n v="315"/>
    <x v="1"/>
    <x v="1"/>
    <x v="0"/>
    <s v="Yes"/>
    <s v="Y"/>
    <n v="3"/>
    <n v="-2"/>
    <n v="0"/>
    <n v="29"/>
    <n v="1"/>
    <n v="1"/>
    <n v="1"/>
    <n v="0"/>
    <n v="896"/>
    <n v="18"/>
    <x v="1"/>
    <n v="1"/>
    <n v="3"/>
    <n v="86"/>
    <n v="2"/>
    <n v="1"/>
    <n v="4"/>
    <n v="2389"/>
    <n v="14961"/>
    <n v="1"/>
    <n v="13"/>
    <x v="0"/>
    <n v="3"/>
    <n v="80"/>
    <n v="0"/>
    <n v="4"/>
    <n v="2"/>
    <n v="4"/>
    <n v="3"/>
    <n v="0"/>
    <n v="1"/>
  </r>
  <r>
    <s v="No"/>
    <s v="Travel_Rarely"/>
    <x v="1"/>
    <s v="Current Employees"/>
    <x v="1"/>
    <x v="0"/>
    <s v="STAFF-316"/>
    <n v="316"/>
    <x v="0"/>
    <x v="2"/>
    <x v="0"/>
    <s v="No"/>
    <s v="Y"/>
    <n v="3"/>
    <n v="-2"/>
    <n v="0"/>
    <n v="52"/>
    <n v="0"/>
    <m/>
    <n v="0"/>
    <n v="1"/>
    <n v="1323"/>
    <n v="2"/>
    <x v="3"/>
    <n v="1"/>
    <n v="3"/>
    <n v="89"/>
    <n v="2"/>
    <n v="1"/>
    <n v="2"/>
    <n v="3212"/>
    <n v="3300"/>
    <n v="7"/>
    <n v="15"/>
    <x v="0"/>
    <n v="2"/>
    <n v="80"/>
    <n v="0"/>
    <n v="6"/>
    <n v="2"/>
    <n v="2"/>
    <n v="2"/>
    <n v="2"/>
    <n v="2"/>
  </r>
  <r>
    <s v="No"/>
    <s v="Travel_Rarely"/>
    <x v="0"/>
    <s v="Current Employees"/>
    <x v="1"/>
    <x v="4"/>
    <s v="STAFF-319"/>
    <n v="319"/>
    <x v="1"/>
    <x v="5"/>
    <x v="1"/>
    <s v="No"/>
    <s v="Y"/>
    <n v="3"/>
    <n v="-2"/>
    <n v="0"/>
    <n v="42"/>
    <n v="0"/>
    <m/>
    <n v="0"/>
    <n v="1"/>
    <n v="532"/>
    <n v="4"/>
    <x v="0"/>
    <n v="1"/>
    <n v="3"/>
    <n v="58"/>
    <n v="3"/>
    <n v="5"/>
    <n v="4"/>
    <n v="19232"/>
    <n v="4933"/>
    <n v="1"/>
    <n v="11"/>
    <x v="0"/>
    <n v="4"/>
    <n v="80"/>
    <n v="0"/>
    <n v="22"/>
    <n v="3"/>
    <n v="22"/>
    <n v="17"/>
    <n v="11"/>
    <n v="15"/>
  </r>
  <r>
    <s v="No"/>
    <s v="Travel_Rarely"/>
    <x v="3"/>
    <s v="Current Employees"/>
    <x v="2"/>
    <x v="2"/>
    <s v="STAFF-321"/>
    <n v="321"/>
    <x v="1"/>
    <x v="8"/>
    <x v="1"/>
    <s v="No"/>
    <s v="Y"/>
    <n v="2"/>
    <n v="-2"/>
    <n v="0"/>
    <n v="59"/>
    <n v="0"/>
    <m/>
    <n v="0"/>
    <n v="1"/>
    <n v="818"/>
    <n v="6"/>
    <x v="0"/>
    <n v="1"/>
    <n v="2"/>
    <n v="52"/>
    <n v="3"/>
    <n v="1"/>
    <n v="3"/>
    <n v="2267"/>
    <n v="25657"/>
    <n v="8"/>
    <n v="17"/>
    <x v="0"/>
    <n v="4"/>
    <n v="80"/>
    <n v="0"/>
    <n v="7"/>
    <n v="2"/>
    <n v="2"/>
    <n v="2"/>
    <n v="2"/>
    <n v="2"/>
  </r>
  <r>
    <s v="No"/>
    <s v="Travel_Rarely"/>
    <x v="1"/>
    <s v="Current Employees"/>
    <x v="0"/>
    <x v="2"/>
    <s v="STAFF-323"/>
    <n v="323"/>
    <x v="0"/>
    <x v="5"/>
    <x v="2"/>
    <s v="No"/>
    <s v="Y"/>
    <n v="3"/>
    <n v="-2"/>
    <n v="0"/>
    <n v="50"/>
    <n v="0"/>
    <m/>
    <n v="0"/>
    <n v="1"/>
    <n v="854"/>
    <n v="1"/>
    <x v="2"/>
    <n v="1"/>
    <n v="4"/>
    <n v="68"/>
    <n v="3"/>
    <n v="5"/>
    <n v="4"/>
    <n v="19517"/>
    <n v="24118"/>
    <n v="3"/>
    <n v="11"/>
    <x v="0"/>
    <n v="3"/>
    <n v="80"/>
    <n v="1"/>
    <n v="32"/>
    <n v="2"/>
    <n v="7"/>
    <n v="0"/>
    <n v="0"/>
    <n v="6"/>
  </r>
  <r>
    <s v="Yes"/>
    <s v="Travel_Rarely"/>
    <x v="2"/>
    <s v="Ex-Employees"/>
    <x v="1"/>
    <x v="2"/>
    <s v="STAFF-325"/>
    <n v="325"/>
    <x v="1"/>
    <x v="2"/>
    <x v="1"/>
    <s v="Yes"/>
    <s v="Y"/>
    <n v="2"/>
    <n v="-2"/>
    <n v="0"/>
    <n v="33"/>
    <n v="1"/>
    <n v="1"/>
    <n v="1"/>
    <n v="0"/>
    <n v="813"/>
    <n v="14"/>
    <x v="3"/>
    <n v="1"/>
    <n v="3"/>
    <n v="58"/>
    <n v="3"/>
    <n v="1"/>
    <n v="4"/>
    <n v="2436"/>
    <n v="22149"/>
    <n v="5"/>
    <n v="13"/>
    <x v="0"/>
    <n v="3"/>
    <n v="80"/>
    <n v="1"/>
    <n v="8"/>
    <n v="1"/>
    <n v="5"/>
    <n v="4"/>
    <n v="0"/>
    <n v="4"/>
  </r>
  <r>
    <s v="No"/>
    <s v="Travel_Rarely"/>
    <x v="0"/>
    <s v="Current Employees"/>
    <x v="0"/>
    <x v="3"/>
    <s v="STAFF-327"/>
    <n v="327"/>
    <x v="0"/>
    <x v="5"/>
    <x v="1"/>
    <s v="Yes"/>
    <s v="Y"/>
    <n v="3"/>
    <n v="-2"/>
    <n v="0"/>
    <n v="43"/>
    <n v="0"/>
    <m/>
    <n v="0"/>
    <n v="1"/>
    <n v="1034"/>
    <n v="16"/>
    <x v="3"/>
    <n v="1"/>
    <n v="4"/>
    <n v="80"/>
    <n v="3"/>
    <n v="4"/>
    <n v="1"/>
    <n v="16064"/>
    <n v="7744"/>
    <n v="5"/>
    <n v="22"/>
    <x v="1"/>
    <n v="3"/>
    <n v="80"/>
    <n v="1"/>
    <n v="22"/>
    <n v="3"/>
    <n v="17"/>
    <n v="13"/>
    <n v="1"/>
    <n v="9"/>
  </r>
  <r>
    <s v="Yes"/>
    <s v="Travel_Rarely"/>
    <x v="2"/>
    <s v="Ex-Employees"/>
    <x v="1"/>
    <x v="0"/>
    <s v="STAFF-328"/>
    <n v="328"/>
    <x v="0"/>
    <x v="2"/>
    <x v="1"/>
    <s v="No"/>
    <s v="Y"/>
    <n v="3"/>
    <n v="-2"/>
    <n v="0"/>
    <n v="33"/>
    <n v="1"/>
    <n v="1"/>
    <n v="1"/>
    <n v="0"/>
    <n v="465"/>
    <n v="2"/>
    <x v="0"/>
    <n v="1"/>
    <n v="1"/>
    <n v="39"/>
    <n v="3"/>
    <n v="1"/>
    <n v="2"/>
    <n v="2707"/>
    <n v="21509"/>
    <n v="7"/>
    <n v="20"/>
    <x v="1"/>
    <n v="1"/>
    <n v="80"/>
    <n v="0"/>
    <n v="13"/>
    <n v="4"/>
    <n v="9"/>
    <n v="7"/>
    <n v="1"/>
    <n v="7"/>
  </r>
  <r>
    <s v="No"/>
    <s v="Non-Travel"/>
    <x v="1"/>
    <s v="Current Employees"/>
    <x v="0"/>
    <x v="0"/>
    <s v="STAFF-329"/>
    <n v="329"/>
    <x v="1"/>
    <x v="5"/>
    <x v="0"/>
    <s v="Yes"/>
    <s v="Y"/>
    <n v="2"/>
    <n v="-2"/>
    <n v="0"/>
    <n v="52"/>
    <n v="0"/>
    <m/>
    <n v="0"/>
    <n v="1"/>
    <n v="771"/>
    <n v="2"/>
    <x v="2"/>
    <n v="1"/>
    <n v="1"/>
    <n v="79"/>
    <n v="2"/>
    <n v="5"/>
    <n v="2"/>
    <n v="19068"/>
    <n v="21030"/>
    <n v="1"/>
    <n v="18"/>
    <x v="0"/>
    <n v="4"/>
    <n v="80"/>
    <n v="0"/>
    <n v="33"/>
    <n v="4"/>
    <n v="33"/>
    <n v="7"/>
    <n v="15"/>
    <n v="12"/>
  </r>
  <r>
    <s v="No"/>
    <s v="Travel_Rarely"/>
    <x v="2"/>
    <s v="Current Employees"/>
    <x v="0"/>
    <x v="0"/>
    <s v="STAFF-330"/>
    <n v="330"/>
    <x v="0"/>
    <x v="6"/>
    <x v="1"/>
    <s v="No"/>
    <s v="Y"/>
    <n v="5"/>
    <n v="-2"/>
    <n v="0"/>
    <n v="32"/>
    <n v="0"/>
    <m/>
    <n v="0"/>
    <n v="1"/>
    <n v="1401"/>
    <n v="4"/>
    <x v="0"/>
    <n v="1"/>
    <n v="3"/>
    <n v="56"/>
    <n v="3"/>
    <n v="1"/>
    <n v="2"/>
    <n v="3931"/>
    <n v="20990"/>
    <n v="2"/>
    <n v="11"/>
    <x v="0"/>
    <n v="1"/>
    <n v="80"/>
    <n v="1"/>
    <n v="6"/>
    <n v="3"/>
    <n v="4"/>
    <n v="3"/>
    <n v="1"/>
    <n v="2"/>
  </r>
  <r>
    <s v="Yes"/>
    <s v="Travel_Rarely"/>
    <x v="2"/>
    <s v="Ex-Employees"/>
    <x v="1"/>
    <x v="0"/>
    <s v="STAFF-331"/>
    <n v="331"/>
    <x v="1"/>
    <x v="2"/>
    <x v="0"/>
    <s v="Yes"/>
    <s v="Y"/>
    <n v="2"/>
    <n v="-2"/>
    <n v="0"/>
    <n v="32"/>
    <n v="1"/>
    <n v="1"/>
    <n v="1"/>
    <n v="0"/>
    <n v="515"/>
    <n v="1"/>
    <x v="3"/>
    <n v="1"/>
    <n v="4"/>
    <n v="62"/>
    <n v="2"/>
    <n v="1"/>
    <n v="2"/>
    <n v="3730"/>
    <n v="9571"/>
    <n v="0"/>
    <n v="14"/>
    <x v="0"/>
    <n v="4"/>
    <n v="80"/>
    <n v="0"/>
    <n v="4"/>
    <n v="1"/>
    <n v="3"/>
    <n v="2"/>
    <n v="1"/>
    <n v="2"/>
  </r>
  <r>
    <s v="No"/>
    <s v="Travel_Rarely"/>
    <x v="0"/>
    <s v="Current Employees"/>
    <x v="1"/>
    <x v="2"/>
    <s v="STAFF-332"/>
    <n v="332"/>
    <x v="0"/>
    <x v="2"/>
    <x v="2"/>
    <s v="No"/>
    <s v="Y"/>
    <n v="1"/>
    <n v="-2"/>
    <n v="0"/>
    <n v="39"/>
    <n v="0"/>
    <m/>
    <n v="0"/>
    <n v="1"/>
    <n v="1431"/>
    <n v="1"/>
    <x v="2"/>
    <n v="1"/>
    <n v="3"/>
    <n v="96"/>
    <n v="3"/>
    <n v="1"/>
    <n v="3"/>
    <n v="2232"/>
    <n v="15417"/>
    <n v="7"/>
    <n v="14"/>
    <x v="0"/>
    <n v="3"/>
    <n v="80"/>
    <n v="3"/>
    <n v="7"/>
    <n v="3"/>
    <n v="3"/>
    <n v="2"/>
    <n v="1"/>
    <n v="2"/>
  </r>
  <r>
    <s v="No"/>
    <s v="Non-Travel"/>
    <x v="2"/>
    <s v="Current Employees"/>
    <x v="0"/>
    <x v="3"/>
    <s v="STAFF-333"/>
    <n v="333"/>
    <x v="1"/>
    <x v="0"/>
    <x v="1"/>
    <s v="No"/>
    <s v="Y"/>
    <n v="2"/>
    <n v="-2"/>
    <n v="0"/>
    <n v="32"/>
    <n v="0"/>
    <m/>
    <n v="0"/>
    <n v="1"/>
    <n v="976"/>
    <n v="26"/>
    <x v="2"/>
    <n v="1"/>
    <n v="3"/>
    <n v="100"/>
    <n v="3"/>
    <n v="2"/>
    <n v="1"/>
    <n v="4465"/>
    <n v="12069"/>
    <n v="0"/>
    <n v="18"/>
    <x v="0"/>
    <n v="1"/>
    <n v="80"/>
    <n v="0"/>
    <n v="4"/>
    <n v="3"/>
    <n v="3"/>
    <n v="2"/>
    <n v="2"/>
    <n v="2"/>
  </r>
  <r>
    <s v="No"/>
    <s v="Travel_Rarely"/>
    <x v="0"/>
    <s v="Current Employees"/>
    <x v="1"/>
    <x v="0"/>
    <s v="STAFF-334"/>
    <n v="334"/>
    <x v="1"/>
    <x v="1"/>
    <x v="2"/>
    <s v="No"/>
    <s v="Y"/>
    <n v="2"/>
    <n v="-2"/>
    <n v="0"/>
    <n v="41"/>
    <n v="0"/>
    <m/>
    <n v="0"/>
    <n v="1"/>
    <n v="1411"/>
    <n v="19"/>
    <x v="0"/>
    <n v="1"/>
    <n v="3"/>
    <n v="36"/>
    <n v="3"/>
    <n v="2"/>
    <n v="2"/>
    <n v="3072"/>
    <n v="19877"/>
    <n v="2"/>
    <n v="16"/>
    <x v="0"/>
    <n v="1"/>
    <n v="80"/>
    <n v="2"/>
    <n v="17"/>
    <n v="2"/>
    <n v="1"/>
    <n v="0"/>
    <n v="0"/>
    <n v="0"/>
  </r>
  <r>
    <s v="No"/>
    <s v="Travel_Rarely"/>
    <x v="0"/>
    <s v="Current Employees"/>
    <x v="1"/>
    <x v="4"/>
    <s v="STAFF-335"/>
    <n v="335"/>
    <x v="1"/>
    <x v="1"/>
    <x v="2"/>
    <s v="No"/>
    <s v="Y"/>
    <n v="3"/>
    <n v="-2"/>
    <n v="0"/>
    <n v="40"/>
    <n v="0"/>
    <m/>
    <n v="0"/>
    <n v="1"/>
    <n v="1300"/>
    <n v="24"/>
    <x v="0"/>
    <n v="1"/>
    <n v="4"/>
    <n v="62"/>
    <n v="3"/>
    <n v="2"/>
    <n v="4"/>
    <n v="3319"/>
    <n v="24447"/>
    <n v="1"/>
    <n v="17"/>
    <x v="0"/>
    <n v="1"/>
    <n v="80"/>
    <n v="2"/>
    <n v="9"/>
    <n v="3"/>
    <n v="9"/>
    <n v="8"/>
    <n v="4"/>
    <n v="7"/>
  </r>
  <r>
    <s v="No"/>
    <s v="Travel_Rarely"/>
    <x v="1"/>
    <s v="Current Employees"/>
    <x v="1"/>
    <x v="1"/>
    <s v="STAFF-336"/>
    <n v="336"/>
    <x v="1"/>
    <x v="5"/>
    <x v="1"/>
    <s v="No"/>
    <s v="Y"/>
    <n v="2"/>
    <n v="-2"/>
    <n v="0"/>
    <n v="45"/>
    <n v="0"/>
    <m/>
    <n v="0"/>
    <n v="1"/>
    <n v="252"/>
    <n v="1"/>
    <x v="3"/>
    <n v="1"/>
    <n v="3"/>
    <n v="70"/>
    <n v="4"/>
    <n v="5"/>
    <n v="4"/>
    <n v="19202"/>
    <n v="15970"/>
    <n v="0"/>
    <n v="11"/>
    <x v="0"/>
    <n v="3"/>
    <n v="80"/>
    <n v="1"/>
    <n v="25"/>
    <n v="3"/>
    <n v="24"/>
    <n v="0"/>
    <n v="1"/>
    <n v="7"/>
  </r>
  <r>
    <s v="No"/>
    <s v="Travel_Frequently"/>
    <x v="2"/>
    <s v="Current Employees"/>
    <x v="1"/>
    <x v="2"/>
    <s v="STAFF-337"/>
    <n v="337"/>
    <x v="1"/>
    <x v="7"/>
    <x v="2"/>
    <s v="No"/>
    <s v="Y"/>
    <n v="3"/>
    <n v="-2"/>
    <n v="0"/>
    <n v="31"/>
    <n v="0"/>
    <m/>
    <n v="0"/>
    <n v="1"/>
    <n v="1327"/>
    <n v="3"/>
    <x v="2"/>
    <n v="1"/>
    <n v="2"/>
    <n v="73"/>
    <n v="3"/>
    <n v="3"/>
    <n v="3"/>
    <n v="13675"/>
    <n v="13523"/>
    <n v="9"/>
    <n v="12"/>
    <x v="0"/>
    <n v="1"/>
    <n v="80"/>
    <n v="1"/>
    <n v="9"/>
    <n v="3"/>
    <n v="2"/>
    <n v="2"/>
    <n v="2"/>
    <n v="2"/>
  </r>
  <r>
    <s v="No"/>
    <s v="Travel_Rarely"/>
    <x v="2"/>
    <s v="Current Employees"/>
    <x v="1"/>
    <x v="0"/>
    <s v="STAFF-338"/>
    <n v="338"/>
    <x v="0"/>
    <x v="1"/>
    <x v="1"/>
    <s v="No"/>
    <s v="Y"/>
    <n v="2"/>
    <n v="-2"/>
    <n v="0"/>
    <n v="33"/>
    <n v="0"/>
    <m/>
    <n v="0"/>
    <n v="1"/>
    <n v="832"/>
    <n v="5"/>
    <x v="2"/>
    <n v="1"/>
    <n v="3"/>
    <n v="63"/>
    <n v="2"/>
    <n v="1"/>
    <n v="2"/>
    <n v="2911"/>
    <n v="14776"/>
    <n v="1"/>
    <n v="13"/>
    <x v="0"/>
    <n v="3"/>
    <n v="80"/>
    <n v="1"/>
    <n v="2"/>
    <n v="2"/>
    <n v="2"/>
    <n v="2"/>
    <n v="0"/>
    <n v="2"/>
  </r>
  <r>
    <s v="No"/>
    <s v="Travel_Rarely"/>
    <x v="2"/>
    <s v="Current Employees"/>
    <x v="1"/>
    <x v="0"/>
    <s v="STAFF-339"/>
    <n v="339"/>
    <x v="1"/>
    <x v="3"/>
    <x v="1"/>
    <s v="No"/>
    <s v="Y"/>
    <n v="3"/>
    <n v="-2"/>
    <n v="0"/>
    <n v="34"/>
    <n v="0"/>
    <m/>
    <n v="0"/>
    <n v="1"/>
    <n v="470"/>
    <n v="2"/>
    <x v="2"/>
    <n v="1"/>
    <n v="4"/>
    <n v="84"/>
    <n v="2"/>
    <n v="2"/>
    <n v="2"/>
    <n v="5957"/>
    <n v="23687"/>
    <n v="6"/>
    <n v="13"/>
    <x v="0"/>
    <n v="2"/>
    <n v="80"/>
    <n v="1"/>
    <n v="13"/>
    <n v="3"/>
    <n v="11"/>
    <n v="9"/>
    <n v="5"/>
    <n v="9"/>
  </r>
  <r>
    <s v="No"/>
    <s v="Travel_Rarely"/>
    <x v="0"/>
    <s v="Current Employees"/>
    <x v="1"/>
    <x v="2"/>
    <s v="STAFF-340"/>
    <n v="340"/>
    <x v="0"/>
    <x v="1"/>
    <x v="1"/>
    <s v="No"/>
    <s v="Y"/>
    <n v="2"/>
    <n v="-2"/>
    <n v="0"/>
    <n v="37"/>
    <n v="0"/>
    <m/>
    <n v="0"/>
    <n v="1"/>
    <n v="1017"/>
    <n v="1"/>
    <x v="0"/>
    <n v="1"/>
    <n v="3"/>
    <n v="83"/>
    <n v="2"/>
    <n v="1"/>
    <n v="3"/>
    <n v="3920"/>
    <n v="18697"/>
    <n v="2"/>
    <n v="14"/>
    <x v="0"/>
    <n v="1"/>
    <n v="80"/>
    <n v="1"/>
    <n v="17"/>
    <n v="2"/>
    <n v="3"/>
    <n v="1"/>
    <n v="0"/>
    <n v="2"/>
  </r>
  <r>
    <s v="No"/>
    <s v="Travel_Frequently"/>
    <x v="1"/>
    <s v="Current Employees"/>
    <x v="1"/>
    <x v="0"/>
    <s v="STAFF-341"/>
    <n v="341"/>
    <x v="1"/>
    <x v="3"/>
    <x v="1"/>
    <s v="No"/>
    <s v="Y"/>
    <n v="1"/>
    <n v="-2"/>
    <n v="0"/>
    <n v="45"/>
    <n v="0"/>
    <m/>
    <n v="0"/>
    <n v="1"/>
    <n v="1199"/>
    <n v="7"/>
    <x v="2"/>
    <n v="1"/>
    <n v="1"/>
    <n v="77"/>
    <n v="4"/>
    <n v="2"/>
    <n v="2"/>
    <n v="6434"/>
    <n v="5118"/>
    <n v="4"/>
    <n v="17"/>
    <x v="0"/>
    <n v="4"/>
    <n v="80"/>
    <n v="1"/>
    <n v="9"/>
    <n v="3"/>
    <n v="3"/>
    <n v="2"/>
    <n v="0"/>
    <n v="2"/>
  </r>
  <r>
    <s v="Yes"/>
    <s v="Travel_Frequently"/>
    <x v="0"/>
    <s v="Ex-Employees"/>
    <x v="1"/>
    <x v="2"/>
    <s v="STAFF-342"/>
    <n v="342"/>
    <x v="1"/>
    <x v="3"/>
    <x v="2"/>
    <s v="No"/>
    <s v="Y"/>
    <n v="5"/>
    <n v="-2"/>
    <n v="0"/>
    <n v="37"/>
    <n v="1"/>
    <n v="1"/>
    <n v="1"/>
    <n v="0"/>
    <n v="504"/>
    <n v="10"/>
    <x v="3"/>
    <n v="1"/>
    <n v="1"/>
    <n v="61"/>
    <n v="3"/>
    <n v="3"/>
    <n v="3"/>
    <n v="10048"/>
    <n v="22573"/>
    <n v="6"/>
    <n v="11"/>
    <x v="0"/>
    <n v="2"/>
    <n v="80"/>
    <n v="2"/>
    <n v="17"/>
    <n v="3"/>
    <n v="1"/>
    <n v="0"/>
    <n v="0"/>
    <n v="0"/>
  </r>
  <r>
    <s v="No"/>
    <s v="Travel_Frequently"/>
    <x v="0"/>
    <s v="Current Employees"/>
    <x v="1"/>
    <x v="4"/>
    <s v="STAFF-343"/>
    <n v="343"/>
    <x v="0"/>
    <x v="4"/>
    <x v="0"/>
    <s v="No"/>
    <s v="Y"/>
    <n v="1"/>
    <n v="-2"/>
    <n v="0"/>
    <n v="39"/>
    <n v="0"/>
    <m/>
    <n v="0"/>
    <n v="1"/>
    <n v="505"/>
    <n v="2"/>
    <x v="2"/>
    <n v="1"/>
    <n v="4"/>
    <n v="64"/>
    <n v="3"/>
    <n v="3"/>
    <n v="4"/>
    <n v="10938"/>
    <n v="6420"/>
    <n v="0"/>
    <n v="25"/>
    <x v="1"/>
    <n v="4"/>
    <n v="80"/>
    <n v="0"/>
    <n v="20"/>
    <n v="3"/>
    <n v="19"/>
    <n v="6"/>
    <n v="11"/>
    <n v="8"/>
  </r>
  <r>
    <s v="No"/>
    <s v="Travel_Rarely"/>
    <x v="2"/>
    <s v="Current Employees"/>
    <x v="1"/>
    <x v="0"/>
    <s v="STAFF-346"/>
    <n v="346"/>
    <x v="1"/>
    <x v="1"/>
    <x v="0"/>
    <s v="No"/>
    <s v="Y"/>
    <n v="1"/>
    <n v="-2"/>
    <n v="0"/>
    <n v="29"/>
    <n v="0"/>
    <m/>
    <n v="0"/>
    <n v="1"/>
    <n v="665"/>
    <n v="15"/>
    <x v="3"/>
    <n v="1"/>
    <n v="3"/>
    <n v="60"/>
    <n v="3"/>
    <n v="1"/>
    <n v="2"/>
    <n v="2340"/>
    <n v="22673"/>
    <n v="1"/>
    <n v="19"/>
    <x v="0"/>
    <n v="1"/>
    <n v="80"/>
    <n v="0"/>
    <n v="6"/>
    <n v="3"/>
    <n v="6"/>
    <n v="5"/>
    <n v="1"/>
    <n v="5"/>
  </r>
  <r>
    <s v="No"/>
    <s v="Travel_Rarely"/>
    <x v="0"/>
    <s v="Current Employees"/>
    <x v="1"/>
    <x v="0"/>
    <s v="STAFF-347"/>
    <n v="347"/>
    <x v="0"/>
    <x v="1"/>
    <x v="0"/>
    <s v="Yes"/>
    <s v="Y"/>
    <n v="1"/>
    <n v="-2"/>
    <n v="0"/>
    <n v="42"/>
    <n v="0"/>
    <m/>
    <n v="0"/>
    <n v="1"/>
    <n v="916"/>
    <n v="17"/>
    <x v="0"/>
    <n v="1"/>
    <n v="4"/>
    <n v="82"/>
    <n v="4"/>
    <n v="2"/>
    <n v="2"/>
    <n v="6545"/>
    <n v="23016"/>
    <n v="3"/>
    <n v="13"/>
    <x v="0"/>
    <n v="3"/>
    <n v="80"/>
    <n v="0"/>
    <n v="10"/>
    <n v="3"/>
    <n v="3"/>
    <n v="2"/>
    <n v="0"/>
    <n v="2"/>
  </r>
  <r>
    <s v="No"/>
    <s v="Travel_Rarely"/>
    <x v="2"/>
    <s v="Current Employees"/>
    <x v="0"/>
    <x v="3"/>
    <s v="STAFF-349"/>
    <n v="349"/>
    <x v="1"/>
    <x v="0"/>
    <x v="2"/>
    <s v="No"/>
    <s v="Y"/>
    <n v="2"/>
    <n v="-2"/>
    <n v="0"/>
    <n v="29"/>
    <n v="0"/>
    <m/>
    <n v="0"/>
    <n v="1"/>
    <n v="1247"/>
    <n v="20"/>
    <x v="0"/>
    <n v="1"/>
    <n v="4"/>
    <n v="45"/>
    <n v="3"/>
    <n v="2"/>
    <n v="1"/>
    <n v="6931"/>
    <n v="10732"/>
    <n v="2"/>
    <n v="14"/>
    <x v="0"/>
    <n v="4"/>
    <n v="80"/>
    <n v="1"/>
    <n v="10"/>
    <n v="3"/>
    <n v="3"/>
    <n v="2"/>
    <n v="0"/>
    <n v="2"/>
  </r>
  <r>
    <s v="No"/>
    <s v="Travel_Rarely"/>
    <x v="2"/>
    <s v="Current Employees"/>
    <x v="1"/>
    <x v="0"/>
    <s v="STAFF-350"/>
    <n v="350"/>
    <x v="0"/>
    <x v="3"/>
    <x v="1"/>
    <s v="No"/>
    <s v="Y"/>
    <n v="3"/>
    <n v="-2"/>
    <n v="0"/>
    <n v="25"/>
    <n v="0"/>
    <m/>
    <n v="0"/>
    <n v="1"/>
    <n v="685"/>
    <n v="1"/>
    <x v="3"/>
    <n v="1"/>
    <n v="1"/>
    <n v="62"/>
    <n v="3"/>
    <n v="2"/>
    <n v="2"/>
    <n v="4898"/>
    <n v="7505"/>
    <n v="0"/>
    <n v="12"/>
    <x v="0"/>
    <n v="4"/>
    <n v="80"/>
    <n v="2"/>
    <n v="5"/>
    <n v="3"/>
    <n v="4"/>
    <n v="2"/>
    <n v="1"/>
    <n v="2"/>
  </r>
  <r>
    <s v="No"/>
    <s v="Travel_Rarely"/>
    <x v="0"/>
    <s v="Current Employees"/>
    <x v="1"/>
    <x v="2"/>
    <s v="STAFF-351"/>
    <n v="351"/>
    <x v="0"/>
    <x v="2"/>
    <x v="2"/>
    <s v="Yes"/>
    <s v="Y"/>
    <n v="4"/>
    <n v="-2"/>
    <n v="0"/>
    <n v="42"/>
    <n v="0"/>
    <m/>
    <n v="0"/>
    <n v="1"/>
    <n v="269"/>
    <n v="2"/>
    <x v="3"/>
    <n v="1"/>
    <n v="4"/>
    <n v="56"/>
    <n v="2"/>
    <n v="1"/>
    <n v="3"/>
    <n v="2593"/>
    <n v="8007"/>
    <n v="0"/>
    <n v="11"/>
    <x v="0"/>
    <n v="3"/>
    <n v="80"/>
    <n v="1"/>
    <n v="10"/>
    <n v="3"/>
    <n v="9"/>
    <n v="6"/>
    <n v="7"/>
    <n v="8"/>
  </r>
  <r>
    <s v="No"/>
    <s v="Travel_Rarely"/>
    <x v="0"/>
    <s v="Current Employees"/>
    <x v="1"/>
    <x v="2"/>
    <s v="STAFF-352"/>
    <n v="352"/>
    <x v="1"/>
    <x v="7"/>
    <x v="2"/>
    <s v="No"/>
    <s v="Y"/>
    <n v="5"/>
    <n v="-2"/>
    <n v="0"/>
    <n v="40"/>
    <n v="0"/>
    <m/>
    <n v="0"/>
    <n v="1"/>
    <n v="1416"/>
    <n v="2"/>
    <x v="0"/>
    <n v="1"/>
    <n v="1"/>
    <n v="49"/>
    <n v="3"/>
    <n v="5"/>
    <n v="3"/>
    <n v="19436"/>
    <n v="5949"/>
    <n v="0"/>
    <n v="19"/>
    <x v="0"/>
    <n v="4"/>
    <n v="80"/>
    <n v="1"/>
    <n v="22"/>
    <n v="3"/>
    <n v="21"/>
    <n v="7"/>
    <n v="3"/>
    <n v="9"/>
  </r>
  <r>
    <s v="No"/>
    <s v="Travel_Rarely"/>
    <x v="1"/>
    <s v="Current Employees"/>
    <x v="1"/>
    <x v="0"/>
    <s v="STAFF-353"/>
    <n v="353"/>
    <x v="1"/>
    <x v="1"/>
    <x v="1"/>
    <s v="No"/>
    <s v="Y"/>
    <n v="0"/>
    <n v="-2"/>
    <n v="0"/>
    <n v="51"/>
    <n v="0"/>
    <m/>
    <n v="0"/>
    <n v="1"/>
    <n v="833"/>
    <n v="1"/>
    <x v="3"/>
    <n v="1"/>
    <n v="3"/>
    <n v="96"/>
    <n v="3"/>
    <n v="1"/>
    <n v="2"/>
    <n v="2723"/>
    <n v="23231"/>
    <n v="1"/>
    <n v="11"/>
    <x v="0"/>
    <n v="2"/>
    <n v="80"/>
    <n v="0"/>
    <n v="1"/>
    <n v="2"/>
    <n v="1"/>
    <n v="0"/>
    <n v="0"/>
    <n v="0"/>
  </r>
  <r>
    <s v="Yes"/>
    <s v="Travel_Frequently"/>
    <x v="2"/>
    <s v="Ex-Employees"/>
    <x v="1"/>
    <x v="2"/>
    <s v="STAFF-355"/>
    <n v="355"/>
    <x v="1"/>
    <x v="2"/>
    <x v="0"/>
    <s v="No"/>
    <s v="Y"/>
    <n v="2"/>
    <n v="-2"/>
    <n v="0"/>
    <n v="31"/>
    <n v="1"/>
    <n v="1"/>
    <n v="1"/>
    <n v="0"/>
    <n v="307"/>
    <n v="29"/>
    <x v="0"/>
    <n v="1"/>
    <n v="3"/>
    <n v="71"/>
    <n v="2"/>
    <n v="1"/>
    <n v="3"/>
    <n v="3479"/>
    <n v="11652"/>
    <n v="0"/>
    <n v="11"/>
    <x v="0"/>
    <n v="2"/>
    <n v="80"/>
    <n v="0"/>
    <n v="6"/>
    <n v="4"/>
    <n v="5"/>
    <n v="4"/>
    <n v="1"/>
    <n v="4"/>
  </r>
  <r>
    <s v="No"/>
    <s v="Travel_Frequently"/>
    <x v="2"/>
    <s v="Current Employees"/>
    <x v="1"/>
    <x v="0"/>
    <s v="STAFF-359"/>
    <n v="359"/>
    <x v="1"/>
    <x v="2"/>
    <x v="1"/>
    <s v="No"/>
    <s v="Y"/>
    <n v="3"/>
    <n v="-2"/>
    <n v="0"/>
    <n v="32"/>
    <n v="0"/>
    <m/>
    <n v="0"/>
    <n v="1"/>
    <n v="1311"/>
    <n v="7"/>
    <x v="3"/>
    <n v="1"/>
    <n v="2"/>
    <n v="100"/>
    <n v="4"/>
    <n v="1"/>
    <n v="2"/>
    <n v="2794"/>
    <n v="26062"/>
    <n v="1"/>
    <n v="20"/>
    <x v="1"/>
    <n v="3"/>
    <n v="80"/>
    <n v="0"/>
    <n v="5"/>
    <n v="1"/>
    <n v="5"/>
    <n v="1"/>
    <n v="0"/>
    <n v="3"/>
  </r>
  <r>
    <s v="No"/>
    <s v="Non-Travel"/>
    <x v="0"/>
    <s v="Current Employees"/>
    <x v="0"/>
    <x v="0"/>
    <s v="STAFF-361"/>
    <n v="361"/>
    <x v="1"/>
    <x v="0"/>
    <x v="1"/>
    <s v="No"/>
    <s v="Y"/>
    <n v="0"/>
    <n v="-2"/>
    <n v="0"/>
    <n v="38"/>
    <n v="0"/>
    <m/>
    <n v="0"/>
    <n v="1"/>
    <n v="1327"/>
    <n v="2"/>
    <x v="0"/>
    <n v="1"/>
    <n v="4"/>
    <n v="39"/>
    <n v="2"/>
    <n v="2"/>
    <n v="2"/>
    <n v="5249"/>
    <n v="19682"/>
    <n v="3"/>
    <n v="18"/>
    <x v="0"/>
    <n v="4"/>
    <n v="80"/>
    <n v="1"/>
    <n v="13"/>
    <n v="3"/>
    <n v="8"/>
    <n v="7"/>
    <n v="7"/>
    <n v="5"/>
  </r>
  <r>
    <s v="No"/>
    <s v="Travel_Rarely"/>
    <x v="2"/>
    <s v="Current Employees"/>
    <x v="1"/>
    <x v="4"/>
    <s v="STAFF-362"/>
    <n v="362"/>
    <x v="1"/>
    <x v="2"/>
    <x v="0"/>
    <s v="No"/>
    <s v="Y"/>
    <n v="5"/>
    <n v="-2"/>
    <n v="0"/>
    <n v="32"/>
    <n v="0"/>
    <m/>
    <n v="0"/>
    <n v="1"/>
    <n v="128"/>
    <n v="2"/>
    <x v="1"/>
    <n v="1"/>
    <n v="4"/>
    <n v="84"/>
    <n v="2"/>
    <n v="2"/>
    <n v="4"/>
    <n v="2176"/>
    <n v="19737"/>
    <n v="4"/>
    <n v="13"/>
    <x v="0"/>
    <n v="4"/>
    <n v="80"/>
    <n v="0"/>
    <n v="9"/>
    <n v="3"/>
    <n v="6"/>
    <n v="2"/>
    <n v="0"/>
    <n v="4"/>
  </r>
  <r>
    <s v="No"/>
    <s v="Travel_Rarely"/>
    <x v="1"/>
    <s v="Current Employees"/>
    <x v="0"/>
    <x v="4"/>
    <s v="STAFF-363"/>
    <n v="363"/>
    <x v="0"/>
    <x v="5"/>
    <x v="1"/>
    <s v="Yes"/>
    <s v="Y"/>
    <n v="2"/>
    <n v="-2"/>
    <n v="0"/>
    <n v="46"/>
    <n v="0"/>
    <m/>
    <n v="0"/>
    <n v="1"/>
    <n v="488"/>
    <n v="2"/>
    <x v="3"/>
    <n v="1"/>
    <n v="4"/>
    <n v="75"/>
    <n v="1"/>
    <n v="4"/>
    <n v="4"/>
    <n v="16872"/>
    <n v="14977"/>
    <n v="3"/>
    <n v="12"/>
    <x v="0"/>
    <n v="2"/>
    <n v="80"/>
    <n v="1"/>
    <n v="28"/>
    <n v="2"/>
    <n v="7"/>
    <n v="7"/>
    <n v="7"/>
    <n v="7"/>
  </r>
  <r>
    <s v="Yes"/>
    <s v="Travel_Rarely"/>
    <x v="2"/>
    <s v="Ex-Employees"/>
    <x v="1"/>
    <x v="0"/>
    <s v="STAFF-364"/>
    <n v="364"/>
    <x v="1"/>
    <x v="2"/>
    <x v="0"/>
    <s v="No"/>
    <s v="Y"/>
    <n v="5"/>
    <n v="-2"/>
    <n v="0"/>
    <n v="28"/>
    <n v="1"/>
    <n v="1"/>
    <n v="1"/>
    <n v="0"/>
    <n v="529"/>
    <n v="2"/>
    <x v="2"/>
    <n v="1"/>
    <n v="1"/>
    <n v="79"/>
    <n v="3"/>
    <n v="1"/>
    <n v="2"/>
    <n v="3485"/>
    <n v="14935"/>
    <n v="2"/>
    <n v="11"/>
    <x v="0"/>
    <n v="3"/>
    <n v="80"/>
    <n v="0"/>
    <n v="5"/>
    <n v="1"/>
    <n v="0"/>
    <n v="0"/>
    <n v="0"/>
    <n v="0"/>
  </r>
  <r>
    <s v="No"/>
    <s v="Travel_Rarely"/>
    <x v="2"/>
    <s v="Current Employees"/>
    <x v="0"/>
    <x v="2"/>
    <s v="STAFF-366"/>
    <n v="366"/>
    <x v="1"/>
    <x v="0"/>
    <x v="1"/>
    <s v="No"/>
    <s v="Y"/>
    <n v="2"/>
    <n v="-2"/>
    <n v="0"/>
    <n v="29"/>
    <n v="0"/>
    <m/>
    <n v="0"/>
    <n v="1"/>
    <n v="1210"/>
    <n v="2"/>
    <x v="3"/>
    <n v="1"/>
    <n v="1"/>
    <n v="78"/>
    <n v="2"/>
    <n v="2"/>
    <n v="3"/>
    <n v="6644"/>
    <n v="3687"/>
    <n v="2"/>
    <n v="19"/>
    <x v="0"/>
    <n v="2"/>
    <n v="80"/>
    <n v="2"/>
    <n v="10"/>
    <n v="3"/>
    <n v="0"/>
    <n v="0"/>
    <n v="0"/>
    <n v="0"/>
  </r>
  <r>
    <s v="No"/>
    <s v="Travel_Rarely"/>
    <x v="2"/>
    <s v="Current Employees"/>
    <x v="1"/>
    <x v="2"/>
    <s v="STAFF-367"/>
    <n v="367"/>
    <x v="1"/>
    <x v="4"/>
    <x v="1"/>
    <s v="No"/>
    <s v="Y"/>
    <n v="2"/>
    <n v="-2"/>
    <n v="0"/>
    <n v="31"/>
    <n v="0"/>
    <m/>
    <n v="0"/>
    <n v="1"/>
    <n v="1463"/>
    <n v="23"/>
    <x v="3"/>
    <n v="1"/>
    <n v="2"/>
    <n v="64"/>
    <n v="2"/>
    <n v="2"/>
    <n v="4"/>
    <n v="5582"/>
    <n v="14408"/>
    <n v="0"/>
    <n v="21"/>
    <x v="1"/>
    <n v="2"/>
    <n v="80"/>
    <n v="1"/>
    <n v="10"/>
    <n v="3"/>
    <n v="9"/>
    <n v="0"/>
    <n v="7"/>
    <n v="8"/>
  </r>
  <r>
    <s v="No"/>
    <s v="Non-Travel"/>
    <x v="2"/>
    <s v="Current Employees"/>
    <x v="1"/>
    <x v="0"/>
    <s v="STAFF-369"/>
    <n v="369"/>
    <x v="1"/>
    <x v="4"/>
    <x v="2"/>
    <s v="No"/>
    <s v="Y"/>
    <n v="2"/>
    <n v="-2"/>
    <n v="0"/>
    <n v="25"/>
    <n v="0"/>
    <m/>
    <n v="0"/>
    <n v="1"/>
    <n v="675"/>
    <n v="5"/>
    <x v="0"/>
    <n v="1"/>
    <n v="2"/>
    <n v="85"/>
    <n v="4"/>
    <n v="2"/>
    <n v="2"/>
    <n v="4000"/>
    <n v="18384"/>
    <n v="1"/>
    <n v="12"/>
    <x v="0"/>
    <n v="4"/>
    <n v="80"/>
    <n v="2"/>
    <n v="6"/>
    <n v="3"/>
    <n v="6"/>
    <n v="3"/>
    <n v="1"/>
    <n v="5"/>
  </r>
  <r>
    <s v="No"/>
    <s v="Travel_Rarely"/>
    <x v="1"/>
    <s v="Current Employees"/>
    <x v="1"/>
    <x v="2"/>
    <s v="STAFF-372"/>
    <n v="372"/>
    <x v="1"/>
    <x v="4"/>
    <x v="1"/>
    <s v="Yes"/>
    <s v="Y"/>
    <n v="2"/>
    <n v="-2"/>
    <n v="0"/>
    <n v="45"/>
    <n v="0"/>
    <m/>
    <n v="0"/>
    <n v="1"/>
    <n v="1385"/>
    <n v="20"/>
    <x v="0"/>
    <n v="1"/>
    <n v="3"/>
    <n v="79"/>
    <n v="3"/>
    <n v="4"/>
    <n v="4"/>
    <n v="13496"/>
    <n v="7501"/>
    <n v="0"/>
    <n v="14"/>
    <x v="0"/>
    <n v="2"/>
    <n v="80"/>
    <n v="0"/>
    <n v="21"/>
    <n v="3"/>
    <n v="20"/>
    <n v="7"/>
    <n v="4"/>
    <n v="10"/>
  </r>
  <r>
    <s v="No"/>
    <s v="Travel_Rarely"/>
    <x v="0"/>
    <s v="Current Employees"/>
    <x v="1"/>
    <x v="0"/>
    <s v="STAFF-373"/>
    <n v="373"/>
    <x v="1"/>
    <x v="2"/>
    <x v="1"/>
    <s v="No"/>
    <s v="Y"/>
    <n v="4"/>
    <n v="-2"/>
    <n v="0"/>
    <n v="36"/>
    <n v="0"/>
    <m/>
    <n v="0"/>
    <n v="1"/>
    <n v="1403"/>
    <n v="6"/>
    <x v="3"/>
    <n v="1"/>
    <n v="4"/>
    <n v="47"/>
    <n v="3"/>
    <n v="1"/>
    <n v="2"/>
    <n v="3210"/>
    <n v="20251"/>
    <n v="0"/>
    <n v="11"/>
    <x v="0"/>
    <n v="3"/>
    <n v="80"/>
    <n v="1"/>
    <n v="16"/>
    <n v="3"/>
    <n v="15"/>
    <n v="13"/>
    <n v="10"/>
    <n v="11"/>
  </r>
  <r>
    <s v="No"/>
    <s v="Travel_Rarely"/>
    <x v="3"/>
    <s v="Current Employees"/>
    <x v="1"/>
    <x v="2"/>
    <s v="STAFF-374"/>
    <n v="374"/>
    <x v="1"/>
    <x v="5"/>
    <x v="0"/>
    <s v="Yes"/>
    <s v="Y"/>
    <n v="2"/>
    <n v="-2"/>
    <n v="0"/>
    <n v="55"/>
    <n v="0"/>
    <m/>
    <n v="0"/>
    <n v="1"/>
    <n v="452"/>
    <n v="1"/>
    <x v="3"/>
    <n v="1"/>
    <n v="4"/>
    <n v="81"/>
    <n v="3"/>
    <n v="5"/>
    <n v="3"/>
    <n v="19045"/>
    <n v="18938"/>
    <n v="0"/>
    <n v="14"/>
    <x v="0"/>
    <n v="3"/>
    <n v="80"/>
    <n v="0"/>
    <n v="37"/>
    <n v="3"/>
    <n v="36"/>
    <n v="10"/>
    <n v="4"/>
    <n v="13"/>
  </r>
  <r>
    <s v="Yes"/>
    <s v="Non-Travel"/>
    <x v="1"/>
    <s v="Ex-Employees"/>
    <x v="1"/>
    <x v="0"/>
    <s v="STAFF-376"/>
    <n v="376"/>
    <x v="1"/>
    <x v="5"/>
    <x v="1"/>
    <s v="Yes"/>
    <s v="Y"/>
    <n v="2"/>
    <n v="-2"/>
    <n v="0"/>
    <n v="47"/>
    <n v="1"/>
    <n v="1"/>
    <n v="1"/>
    <n v="0"/>
    <n v="666"/>
    <n v="29"/>
    <x v="2"/>
    <n v="1"/>
    <n v="1"/>
    <n v="88"/>
    <n v="3"/>
    <n v="3"/>
    <n v="2"/>
    <n v="11849"/>
    <n v="10268"/>
    <n v="1"/>
    <n v="12"/>
    <x v="0"/>
    <n v="4"/>
    <n v="80"/>
    <n v="1"/>
    <n v="10"/>
    <n v="2"/>
    <n v="10"/>
    <n v="7"/>
    <n v="9"/>
    <n v="9"/>
  </r>
  <r>
    <s v="No"/>
    <s v="Travel_Rarely"/>
    <x v="2"/>
    <s v="Current Employees"/>
    <x v="1"/>
    <x v="2"/>
    <s v="STAFF-377"/>
    <n v="377"/>
    <x v="1"/>
    <x v="1"/>
    <x v="1"/>
    <s v="No"/>
    <s v="Y"/>
    <n v="3"/>
    <n v="-2"/>
    <n v="0"/>
    <n v="28"/>
    <n v="0"/>
    <m/>
    <n v="0"/>
    <n v="1"/>
    <n v="1158"/>
    <n v="9"/>
    <x v="3"/>
    <n v="1"/>
    <n v="4"/>
    <n v="94"/>
    <n v="3"/>
    <n v="1"/>
    <n v="4"/>
    <n v="2070"/>
    <n v="2613"/>
    <n v="1"/>
    <n v="23"/>
    <x v="1"/>
    <n v="4"/>
    <n v="80"/>
    <n v="1"/>
    <n v="5"/>
    <n v="2"/>
    <n v="5"/>
    <n v="2"/>
    <n v="0"/>
    <n v="4"/>
  </r>
  <r>
    <s v="No"/>
    <s v="Travel_Rarely"/>
    <x v="0"/>
    <s v="Current Employees"/>
    <x v="0"/>
    <x v="2"/>
    <s v="STAFF-378"/>
    <n v="378"/>
    <x v="1"/>
    <x v="0"/>
    <x v="1"/>
    <s v="No"/>
    <s v="Y"/>
    <n v="5"/>
    <n v="-2"/>
    <n v="0"/>
    <n v="37"/>
    <n v="0"/>
    <m/>
    <n v="0"/>
    <n v="1"/>
    <n v="228"/>
    <n v="6"/>
    <x v="2"/>
    <n v="1"/>
    <n v="3"/>
    <n v="98"/>
    <n v="3"/>
    <n v="2"/>
    <n v="4"/>
    <n v="6502"/>
    <n v="22825"/>
    <n v="4"/>
    <n v="14"/>
    <x v="0"/>
    <n v="2"/>
    <n v="80"/>
    <n v="1"/>
    <n v="7"/>
    <n v="4"/>
    <n v="5"/>
    <n v="4"/>
    <n v="0"/>
    <n v="1"/>
  </r>
  <r>
    <s v="No"/>
    <s v="Travel_Rarely"/>
    <x v="4"/>
    <s v="Current Employees"/>
    <x v="1"/>
    <x v="2"/>
    <s v="STAFF-379"/>
    <n v="379"/>
    <x v="1"/>
    <x v="1"/>
    <x v="0"/>
    <s v="No"/>
    <s v="Y"/>
    <n v="4"/>
    <n v="-2"/>
    <n v="0"/>
    <n v="21"/>
    <n v="0"/>
    <m/>
    <n v="0"/>
    <n v="1"/>
    <n v="996"/>
    <n v="3"/>
    <x v="0"/>
    <n v="1"/>
    <n v="4"/>
    <n v="100"/>
    <n v="2"/>
    <n v="1"/>
    <n v="3"/>
    <n v="3230"/>
    <n v="10531"/>
    <n v="1"/>
    <n v="17"/>
    <x v="0"/>
    <n v="1"/>
    <n v="80"/>
    <n v="0"/>
    <n v="3"/>
    <n v="4"/>
    <n v="3"/>
    <n v="2"/>
    <n v="1"/>
    <n v="0"/>
  </r>
  <r>
    <s v="No"/>
    <s v="Non-Travel"/>
    <x v="0"/>
    <s v="Current Employees"/>
    <x v="1"/>
    <x v="2"/>
    <s v="STAFF-380"/>
    <n v="380"/>
    <x v="0"/>
    <x v="7"/>
    <x v="2"/>
    <s v="Yes"/>
    <s v="Y"/>
    <n v="2"/>
    <n v="-2"/>
    <n v="0"/>
    <n v="37"/>
    <n v="0"/>
    <m/>
    <n v="0"/>
    <n v="1"/>
    <n v="728"/>
    <n v="1"/>
    <x v="2"/>
    <n v="1"/>
    <n v="1"/>
    <n v="80"/>
    <n v="3"/>
    <n v="3"/>
    <n v="4"/>
    <n v="13603"/>
    <n v="11677"/>
    <n v="2"/>
    <n v="18"/>
    <x v="0"/>
    <n v="1"/>
    <n v="80"/>
    <n v="2"/>
    <n v="15"/>
    <n v="3"/>
    <n v="5"/>
    <n v="2"/>
    <n v="0"/>
    <n v="2"/>
  </r>
  <r>
    <s v="No"/>
    <s v="Travel_Rarely"/>
    <x v="0"/>
    <s v="Current Employees"/>
    <x v="1"/>
    <x v="0"/>
    <s v="STAFF-381"/>
    <n v="381"/>
    <x v="0"/>
    <x v="5"/>
    <x v="2"/>
    <s v="No"/>
    <s v="Y"/>
    <n v="6"/>
    <n v="-2"/>
    <n v="0"/>
    <n v="35"/>
    <n v="0"/>
    <m/>
    <n v="0"/>
    <n v="1"/>
    <n v="1315"/>
    <n v="22"/>
    <x v="3"/>
    <n v="1"/>
    <n v="2"/>
    <n v="71"/>
    <n v="4"/>
    <n v="3"/>
    <n v="2"/>
    <n v="11996"/>
    <n v="19100"/>
    <n v="7"/>
    <n v="18"/>
    <x v="0"/>
    <n v="2"/>
    <n v="80"/>
    <n v="1"/>
    <n v="10"/>
    <n v="2"/>
    <n v="7"/>
    <n v="7"/>
    <n v="6"/>
    <n v="2"/>
  </r>
  <r>
    <s v="No"/>
    <s v="Travel_Rarely"/>
    <x v="0"/>
    <s v="Current Employees"/>
    <x v="0"/>
    <x v="2"/>
    <s v="STAFF-382"/>
    <n v="382"/>
    <x v="0"/>
    <x v="0"/>
    <x v="2"/>
    <s v="Yes"/>
    <s v="Y"/>
    <n v="3"/>
    <n v="-2"/>
    <n v="0"/>
    <n v="38"/>
    <n v="0"/>
    <m/>
    <n v="0"/>
    <n v="1"/>
    <n v="322"/>
    <n v="7"/>
    <x v="0"/>
    <n v="1"/>
    <n v="1"/>
    <n v="44"/>
    <n v="4"/>
    <n v="2"/>
    <n v="3"/>
    <n v="5605"/>
    <n v="19191"/>
    <n v="1"/>
    <n v="24"/>
    <x v="1"/>
    <n v="3"/>
    <n v="80"/>
    <n v="1"/>
    <n v="8"/>
    <n v="3"/>
    <n v="8"/>
    <n v="0"/>
    <n v="7"/>
    <n v="7"/>
  </r>
  <r>
    <s v="No"/>
    <s v="Travel_Frequently"/>
    <x v="2"/>
    <s v="Current Employees"/>
    <x v="1"/>
    <x v="0"/>
    <s v="STAFF-384"/>
    <n v="384"/>
    <x v="0"/>
    <x v="3"/>
    <x v="2"/>
    <s v="No"/>
    <s v="Y"/>
    <n v="6"/>
    <n v="-2"/>
    <n v="0"/>
    <n v="26"/>
    <n v="0"/>
    <m/>
    <n v="0"/>
    <n v="1"/>
    <n v="1479"/>
    <n v="1"/>
    <x v="3"/>
    <n v="1"/>
    <n v="3"/>
    <n v="84"/>
    <n v="3"/>
    <n v="2"/>
    <n v="2"/>
    <n v="6397"/>
    <n v="26767"/>
    <n v="1"/>
    <n v="20"/>
    <x v="1"/>
    <n v="1"/>
    <n v="80"/>
    <n v="1"/>
    <n v="6"/>
    <n v="1"/>
    <n v="6"/>
    <n v="5"/>
    <n v="1"/>
    <n v="4"/>
  </r>
  <r>
    <s v="No"/>
    <s v="Travel_Rarely"/>
    <x v="1"/>
    <s v="Current Employees"/>
    <x v="1"/>
    <x v="0"/>
    <s v="STAFF-385"/>
    <n v="385"/>
    <x v="1"/>
    <x v="7"/>
    <x v="2"/>
    <s v="No"/>
    <s v="Y"/>
    <n v="4"/>
    <n v="-2"/>
    <n v="0"/>
    <n v="50"/>
    <n v="0"/>
    <m/>
    <n v="0"/>
    <n v="1"/>
    <n v="797"/>
    <n v="4"/>
    <x v="1"/>
    <n v="1"/>
    <n v="1"/>
    <n v="96"/>
    <n v="3"/>
    <n v="5"/>
    <n v="2"/>
    <n v="19144"/>
    <n v="15815"/>
    <n v="3"/>
    <n v="14"/>
    <x v="0"/>
    <n v="1"/>
    <n v="80"/>
    <n v="2"/>
    <n v="28"/>
    <n v="2"/>
    <n v="10"/>
    <n v="4"/>
    <n v="1"/>
    <n v="6"/>
  </r>
  <r>
    <s v="No"/>
    <s v="Travel_Rarely"/>
    <x v="1"/>
    <s v="Current Employees"/>
    <x v="1"/>
    <x v="2"/>
    <s v="STAFF-386"/>
    <n v="386"/>
    <x v="1"/>
    <x v="7"/>
    <x v="1"/>
    <s v="Yes"/>
    <s v="Y"/>
    <n v="5"/>
    <n v="-2"/>
    <n v="0"/>
    <n v="53"/>
    <n v="0"/>
    <m/>
    <n v="0"/>
    <n v="1"/>
    <n v="1070"/>
    <n v="3"/>
    <x v="2"/>
    <n v="1"/>
    <n v="3"/>
    <n v="45"/>
    <n v="3"/>
    <n v="4"/>
    <n v="3"/>
    <n v="17584"/>
    <n v="21016"/>
    <n v="3"/>
    <n v="16"/>
    <x v="0"/>
    <n v="4"/>
    <n v="80"/>
    <n v="3"/>
    <n v="21"/>
    <n v="2"/>
    <n v="5"/>
    <n v="3"/>
    <n v="1"/>
    <n v="3"/>
  </r>
  <r>
    <s v="No"/>
    <s v="Travel_Rarely"/>
    <x v="0"/>
    <s v="Current Employees"/>
    <x v="0"/>
    <x v="0"/>
    <s v="STAFF-387"/>
    <n v="387"/>
    <x v="1"/>
    <x v="0"/>
    <x v="1"/>
    <s v="No"/>
    <s v="Y"/>
    <n v="3"/>
    <n v="-2"/>
    <n v="0"/>
    <n v="42"/>
    <n v="0"/>
    <m/>
    <n v="0"/>
    <n v="1"/>
    <n v="635"/>
    <n v="1"/>
    <x v="1"/>
    <n v="1"/>
    <n v="2"/>
    <n v="99"/>
    <n v="3"/>
    <n v="2"/>
    <n v="2"/>
    <n v="4907"/>
    <n v="24532"/>
    <n v="1"/>
    <n v="25"/>
    <x v="1"/>
    <n v="3"/>
    <n v="80"/>
    <n v="0"/>
    <n v="20"/>
    <n v="3"/>
    <n v="20"/>
    <n v="16"/>
    <n v="11"/>
    <n v="6"/>
  </r>
  <r>
    <s v="No"/>
    <s v="Travel_Frequently"/>
    <x v="2"/>
    <s v="Current Employees"/>
    <x v="0"/>
    <x v="0"/>
    <s v="STAFF-388"/>
    <n v="388"/>
    <x v="1"/>
    <x v="0"/>
    <x v="0"/>
    <s v="No"/>
    <s v="Y"/>
    <n v="3"/>
    <n v="-2"/>
    <n v="0"/>
    <n v="29"/>
    <n v="0"/>
    <m/>
    <n v="0"/>
    <n v="1"/>
    <n v="442"/>
    <n v="2"/>
    <x v="0"/>
    <n v="1"/>
    <n v="2"/>
    <n v="44"/>
    <n v="3"/>
    <n v="2"/>
    <n v="2"/>
    <n v="4554"/>
    <n v="20260"/>
    <n v="1"/>
    <n v="18"/>
    <x v="0"/>
    <n v="1"/>
    <n v="80"/>
    <n v="0"/>
    <n v="10"/>
    <n v="2"/>
    <n v="10"/>
    <n v="7"/>
    <n v="0"/>
    <n v="9"/>
  </r>
  <r>
    <s v="No"/>
    <s v="Travel_Rarely"/>
    <x v="3"/>
    <s v="Current Employees"/>
    <x v="1"/>
    <x v="4"/>
    <s v="STAFF-389"/>
    <n v="389"/>
    <x v="1"/>
    <x v="2"/>
    <x v="1"/>
    <s v="Yes"/>
    <s v="Y"/>
    <n v="4"/>
    <n v="-2"/>
    <n v="0"/>
    <n v="55"/>
    <n v="0"/>
    <m/>
    <n v="0"/>
    <n v="1"/>
    <n v="147"/>
    <n v="20"/>
    <x v="0"/>
    <n v="1"/>
    <n v="4"/>
    <n v="37"/>
    <n v="3"/>
    <n v="2"/>
    <n v="4"/>
    <n v="5415"/>
    <n v="15972"/>
    <n v="3"/>
    <n v="19"/>
    <x v="0"/>
    <n v="4"/>
    <n v="80"/>
    <n v="1"/>
    <n v="12"/>
    <n v="3"/>
    <n v="10"/>
    <n v="7"/>
    <n v="0"/>
    <n v="8"/>
  </r>
  <r>
    <s v="No"/>
    <s v="Travel_Frequently"/>
    <x v="2"/>
    <s v="Current Employees"/>
    <x v="1"/>
    <x v="2"/>
    <s v="STAFF-390"/>
    <n v="390"/>
    <x v="1"/>
    <x v="4"/>
    <x v="1"/>
    <s v="Yes"/>
    <s v="Y"/>
    <n v="3"/>
    <n v="-2"/>
    <n v="0"/>
    <n v="26"/>
    <n v="0"/>
    <m/>
    <n v="0"/>
    <n v="1"/>
    <n v="496"/>
    <n v="11"/>
    <x v="0"/>
    <n v="1"/>
    <n v="1"/>
    <n v="60"/>
    <n v="3"/>
    <n v="2"/>
    <n v="3"/>
    <n v="4741"/>
    <n v="22722"/>
    <n v="1"/>
    <n v="13"/>
    <x v="0"/>
    <n v="3"/>
    <n v="80"/>
    <n v="1"/>
    <n v="5"/>
    <n v="3"/>
    <n v="5"/>
    <n v="3"/>
    <n v="3"/>
    <n v="3"/>
  </r>
  <r>
    <s v="No"/>
    <s v="Travel_Rarely"/>
    <x v="0"/>
    <s v="Current Employees"/>
    <x v="1"/>
    <x v="0"/>
    <s v="STAFF-391"/>
    <n v="391"/>
    <x v="0"/>
    <x v="1"/>
    <x v="0"/>
    <s v="No"/>
    <s v="Y"/>
    <n v="3"/>
    <n v="-2"/>
    <n v="0"/>
    <n v="37"/>
    <n v="0"/>
    <m/>
    <n v="0"/>
    <n v="1"/>
    <n v="1372"/>
    <n v="1"/>
    <x v="3"/>
    <n v="1"/>
    <n v="4"/>
    <n v="42"/>
    <n v="3"/>
    <n v="1"/>
    <n v="2"/>
    <n v="2115"/>
    <n v="15881"/>
    <n v="1"/>
    <n v="12"/>
    <x v="0"/>
    <n v="2"/>
    <n v="80"/>
    <n v="0"/>
    <n v="17"/>
    <n v="3"/>
    <n v="17"/>
    <n v="12"/>
    <n v="5"/>
    <n v="7"/>
  </r>
  <r>
    <s v="Yes"/>
    <s v="Travel_Frequently"/>
    <x v="0"/>
    <s v="Ex-Employees"/>
    <x v="1"/>
    <x v="0"/>
    <s v="STAFF-392"/>
    <n v="392"/>
    <x v="1"/>
    <x v="2"/>
    <x v="2"/>
    <s v="Yes"/>
    <s v="Y"/>
    <n v="0"/>
    <n v="-2"/>
    <n v="0"/>
    <n v="44"/>
    <n v="1"/>
    <n v="1"/>
    <n v="1"/>
    <n v="0"/>
    <n v="920"/>
    <n v="24"/>
    <x v="3"/>
    <n v="1"/>
    <n v="4"/>
    <n v="43"/>
    <n v="3"/>
    <n v="1"/>
    <n v="2"/>
    <n v="3161"/>
    <n v="19920"/>
    <n v="3"/>
    <n v="22"/>
    <x v="1"/>
    <n v="4"/>
    <n v="80"/>
    <n v="1"/>
    <n v="19"/>
    <n v="1"/>
    <n v="1"/>
    <n v="0"/>
    <n v="0"/>
    <n v="0"/>
  </r>
  <r>
    <s v="No"/>
    <s v="Travel_Rarely"/>
    <x v="0"/>
    <s v="Current Employees"/>
    <x v="1"/>
    <x v="0"/>
    <s v="STAFF-393"/>
    <n v="393"/>
    <x v="1"/>
    <x v="4"/>
    <x v="2"/>
    <s v="No"/>
    <s v="Y"/>
    <n v="2"/>
    <n v="-2"/>
    <n v="0"/>
    <n v="38"/>
    <n v="0"/>
    <m/>
    <n v="0"/>
    <n v="1"/>
    <n v="688"/>
    <n v="23"/>
    <x v="2"/>
    <n v="1"/>
    <n v="4"/>
    <n v="82"/>
    <n v="3"/>
    <n v="2"/>
    <n v="2"/>
    <n v="5745"/>
    <n v="18899"/>
    <n v="9"/>
    <n v="14"/>
    <x v="0"/>
    <n v="2"/>
    <n v="80"/>
    <n v="1"/>
    <n v="10"/>
    <n v="3"/>
    <n v="2"/>
    <n v="2"/>
    <n v="1"/>
    <n v="2"/>
  </r>
  <r>
    <s v="Yes"/>
    <s v="Travel_Rarely"/>
    <x v="2"/>
    <s v="Ex-Employees"/>
    <x v="1"/>
    <x v="2"/>
    <s v="STAFF-394"/>
    <n v="394"/>
    <x v="1"/>
    <x v="2"/>
    <x v="2"/>
    <s v="Yes"/>
    <s v="Y"/>
    <n v="2"/>
    <n v="-2"/>
    <n v="0"/>
    <n v="26"/>
    <n v="1"/>
    <n v="1"/>
    <n v="1"/>
    <n v="0"/>
    <n v="1449"/>
    <n v="16"/>
    <x v="2"/>
    <n v="1"/>
    <n v="1"/>
    <n v="45"/>
    <n v="3"/>
    <n v="1"/>
    <n v="3"/>
    <n v="2373"/>
    <n v="14180"/>
    <n v="2"/>
    <n v="13"/>
    <x v="0"/>
    <n v="4"/>
    <n v="80"/>
    <n v="1"/>
    <n v="5"/>
    <n v="3"/>
    <n v="3"/>
    <n v="2"/>
    <n v="0"/>
    <n v="2"/>
  </r>
  <r>
    <s v="No"/>
    <s v="Travel_Rarely"/>
    <x v="2"/>
    <s v="Current Employees"/>
    <x v="1"/>
    <x v="0"/>
    <s v="STAFF-395"/>
    <n v="395"/>
    <x v="0"/>
    <x v="1"/>
    <x v="0"/>
    <s v="No"/>
    <s v="Y"/>
    <n v="3"/>
    <n v="-2"/>
    <n v="0"/>
    <n v="28"/>
    <n v="0"/>
    <m/>
    <n v="0"/>
    <n v="1"/>
    <n v="1117"/>
    <n v="8"/>
    <x v="0"/>
    <n v="1"/>
    <n v="4"/>
    <n v="66"/>
    <n v="3"/>
    <n v="1"/>
    <n v="2"/>
    <n v="3310"/>
    <n v="4488"/>
    <n v="1"/>
    <n v="21"/>
    <x v="1"/>
    <n v="4"/>
    <n v="80"/>
    <n v="0"/>
    <n v="5"/>
    <n v="3"/>
    <n v="5"/>
    <n v="3"/>
    <n v="0"/>
    <n v="2"/>
  </r>
  <r>
    <s v="No"/>
    <s v="Travel_Frequently"/>
    <x v="1"/>
    <s v="Current Employees"/>
    <x v="1"/>
    <x v="0"/>
    <s v="STAFF-396"/>
    <n v="396"/>
    <x v="0"/>
    <x v="7"/>
    <x v="0"/>
    <s v="Yes"/>
    <s v="Y"/>
    <n v="4"/>
    <n v="-2"/>
    <n v="0"/>
    <n v="49"/>
    <n v="0"/>
    <m/>
    <n v="0"/>
    <n v="1"/>
    <n v="636"/>
    <n v="10"/>
    <x v="2"/>
    <n v="1"/>
    <n v="3"/>
    <n v="35"/>
    <n v="3"/>
    <n v="5"/>
    <n v="2"/>
    <n v="18665"/>
    <n v="25594"/>
    <n v="9"/>
    <n v="11"/>
    <x v="0"/>
    <n v="4"/>
    <n v="80"/>
    <n v="0"/>
    <n v="22"/>
    <n v="3"/>
    <n v="3"/>
    <n v="2"/>
    <n v="1"/>
    <n v="2"/>
  </r>
  <r>
    <s v="No"/>
    <s v="Travel_Rarely"/>
    <x v="0"/>
    <s v="Current Employees"/>
    <x v="1"/>
    <x v="4"/>
    <s v="STAFF-397"/>
    <n v="397"/>
    <x v="1"/>
    <x v="1"/>
    <x v="0"/>
    <s v="No"/>
    <s v="Y"/>
    <n v="2"/>
    <n v="-2"/>
    <n v="0"/>
    <n v="36"/>
    <n v="0"/>
    <m/>
    <n v="0"/>
    <n v="1"/>
    <n v="506"/>
    <n v="3"/>
    <x v="3"/>
    <n v="1"/>
    <n v="4"/>
    <n v="30"/>
    <n v="3"/>
    <n v="2"/>
    <n v="4"/>
    <n v="4485"/>
    <n v="26285"/>
    <n v="4"/>
    <n v="12"/>
    <x v="0"/>
    <n v="4"/>
    <n v="80"/>
    <n v="0"/>
    <n v="10"/>
    <n v="3"/>
    <n v="8"/>
    <n v="0"/>
    <n v="7"/>
    <n v="7"/>
  </r>
  <r>
    <s v="No"/>
    <s v="Travel_Frequently"/>
    <x v="2"/>
    <s v="Current Employees"/>
    <x v="0"/>
    <x v="3"/>
    <s v="STAFF-399"/>
    <n v="399"/>
    <x v="0"/>
    <x v="6"/>
    <x v="2"/>
    <s v="No"/>
    <s v="Y"/>
    <n v="5"/>
    <n v="-2"/>
    <n v="0"/>
    <n v="31"/>
    <n v="0"/>
    <m/>
    <n v="0"/>
    <n v="1"/>
    <n v="444"/>
    <n v="5"/>
    <x v="3"/>
    <n v="1"/>
    <n v="4"/>
    <n v="84"/>
    <n v="3"/>
    <n v="1"/>
    <n v="1"/>
    <n v="2789"/>
    <n v="3909"/>
    <n v="1"/>
    <n v="11"/>
    <x v="0"/>
    <n v="3"/>
    <n v="80"/>
    <n v="1"/>
    <n v="2"/>
    <n v="2"/>
    <n v="2"/>
    <n v="2"/>
    <n v="2"/>
    <n v="2"/>
  </r>
  <r>
    <s v="Yes"/>
    <s v="Travel_Rarely"/>
    <x v="2"/>
    <s v="Ex-Employees"/>
    <x v="0"/>
    <x v="3"/>
    <s v="STAFF-401"/>
    <n v="401"/>
    <x v="1"/>
    <x v="0"/>
    <x v="0"/>
    <s v="Yes"/>
    <s v="Y"/>
    <n v="0"/>
    <n v="-2"/>
    <n v="0"/>
    <n v="26"/>
    <n v="1"/>
    <n v="1"/>
    <n v="1"/>
    <n v="0"/>
    <n v="950"/>
    <n v="4"/>
    <x v="2"/>
    <n v="1"/>
    <n v="4"/>
    <n v="48"/>
    <n v="2"/>
    <n v="2"/>
    <n v="1"/>
    <n v="5828"/>
    <n v="8450"/>
    <n v="1"/>
    <n v="12"/>
    <x v="0"/>
    <n v="2"/>
    <n v="80"/>
    <n v="0"/>
    <n v="8"/>
    <n v="3"/>
    <n v="8"/>
    <n v="7"/>
    <n v="7"/>
    <n v="4"/>
  </r>
  <r>
    <s v="No"/>
    <s v="Travel_Frequently"/>
    <x v="0"/>
    <s v="Current Employees"/>
    <x v="1"/>
    <x v="2"/>
    <s v="STAFF-403"/>
    <n v="403"/>
    <x v="1"/>
    <x v="1"/>
    <x v="1"/>
    <s v="Yes"/>
    <s v="Y"/>
    <n v="3"/>
    <n v="-2"/>
    <n v="0"/>
    <n v="37"/>
    <n v="0"/>
    <m/>
    <n v="0"/>
    <n v="1"/>
    <n v="889"/>
    <n v="9"/>
    <x v="3"/>
    <n v="1"/>
    <n v="2"/>
    <n v="53"/>
    <n v="3"/>
    <n v="1"/>
    <n v="4"/>
    <n v="2326"/>
    <n v="11411"/>
    <n v="1"/>
    <n v="12"/>
    <x v="0"/>
    <n v="3"/>
    <n v="80"/>
    <n v="3"/>
    <n v="4"/>
    <n v="2"/>
    <n v="4"/>
    <n v="2"/>
    <n v="1"/>
    <n v="2"/>
  </r>
  <r>
    <s v="No"/>
    <s v="Travel_Frequently"/>
    <x v="0"/>
    <s v="Current Employees"/>
    <x v="0"/>
    <x v="3"/>
    <s v="STAFF-404"/>
    <n v="404"/>
    <x v="0"/>
    <x v="0"/>
    <x v="1"/>
    <s v="No"/>
    <s v="Y"/>
    <n v="2"/>
    <n v="-2"/>
    <n v="0"/>
    <n v="42"/>
    <n v="0"/>
    <m/>
    <n v="0"/>
    <n v="1"/>
    <n v="555"/>
    <n v="26"/>
    <x v="3"/>
    <n v="1"/>
    <n v="3"/>
    <n v="77"/>
    <n v="3"/>
    <n v="4"/>
    <n v="1"/>
    <n v="13525"/>
    <n v="14864"/>
    <n v="5"/>
    <n v="14"/>
    <x v="0"/>
    <n v="4"/>
    <n v="80"/>
    <n v="1"/>
    <n v="23"/>
    <n v="4"/>
    <n v="20"/>
    <n v="4"/>
    <n v="4"/>
    <n v="8"/>
  </r>
  <r>
    <s v="Yes"/>
    <s v="Travel_Rarely"/>
    <x v="4"/>
    <s v="Ex-Employees"/>
    <x v="1"/>
    <x v="0"/>
    <s v="STAFF-405"/>
    <n v="405"/>
    <x v="1"/>
    <x v="2"/>
    <x v="0"/>
    <s v="No"/>
    <s v="Y"/>
    <n v="2"/>
    <n v="-2"/>
    <n v="0"/>
    <n v="18"/>
    <n v="1"/>
    <n v="1"/>
    <n v="1"/>
    <n v="0"/>
    <n v="230"/>
    <n v="3"/>
    <x v="3"/>
    <n v="1"/>
    <n v="3"/>
    <n v="54"/>
    <n v="3"/>
    <n v="1"/>
    <n v="2"/>
    <n v="1420"/>
    <n v="25233"/>
    <n v="1"/>
    <n v="13"/>
    <x v="0"/>
    <n v="3"/>
    <n v="80"/>
    <n v="0"/>
    <n v="0"/>
    <n v="3"/>
    <n v="0"/>
    <n v="0"/>
    <n v="0"/>
    <n v="0"/>
  </r>
  <r>
    <s v="No"/>
    <s v="Travel_Rarely"/>
    <x v="0"/>
    <s v="Current Employees"/>
    <x v="0"/>
    <x v="3"/>
    <s v="STAFF-406"/>
    <n v="406"/>
    <x v="1"/>
    <x v="0"/>
    <x v="1"/>
    <s v="No"/>
    <s v="Y"/>
    <n v="3"/>
    <n v="-2"/>
    <n v="0"/>
    <n v="35"/>
    <n v="0"/>
    <m/>
    <n v="0"/>
    <n v="1"/>
    <n v="1232"/>
    <n v="16"/>
    <x v="3"/>
    <n v="1"/>
    <n v="3"/>
    <n v="96"/>
    <n v="3"/>
    <n v="3"/>
    <n v="1"/>
    <n v="8020"/>
    <n v="5100"/>
    <n v="0"/>
    <n v="15"/>
    <x v="0"/>
    <n v="3"/>
    <n v="80"/>
    <n v="2"/>
    <n v="12"/>
    <n v="2"/>
    <n v="11"/>
    <n v="9"/>
    <n v="6"/>
    <n v="9"/>
  </r>
  <r>
    <s v="No"/>
    <s v="Travel_Frequently"/>
    <x v="0"/>
    <s v="Current Employees"/>
    <x v="1"/>
    <x v="0"/>
    <s v="STAFF-407"/>
    <n v="407"/>
    <x v="1"/>
    <x v="2"/>
    <x v="1"/>
    <s v="No"/>
    <s v="Y"/>
    <n v="2"/>
    <n v="-2"/>
    <n v="0"/>
    <n v="36"/>
    <n v="0"/>
    <m/>
    <n v="0"/>
    <n v="1"/>
    <n v="566"/>
    <n v="18"/>
    <x v="2"/>
    <n v="1"/>
    <n v="3"/>
    <n v="81"/>
    <n v="4"/>
    <n v="1"/>
    <n v="2"/>
    <n v="3688"/>
    <n v="7122"/>
    <n v="4"/>
    <n v="18"/>
    <x v="0"/>
    <n v="4"/>
    <n v="80"/>
    <n v="2"/>
    <n v="4"/>
    <n v="3"/>
    <n v="1"/>
    <n v="0"/>
    <n v="0"/>
    <n v="0"/>
  </r>
  <r>
    <s v="No"/>
    <s v="Travel_Rarely"/>
    <x v="1"/>
    <s v="Current Employees"/>
    <x v="1"/>
    <x v="2"/>
    <s v="STAFF-408"/>
    <n v="408"/>
    <x v="1"/>
    <x v="3"/>
    <x v="2"/>
    <s v="No"/>
    <s v="Y"/>
    <n v="3"/>
    <n v="-2"/>
    <n v="0"/>
    <n v="51"/>
    <n v="0"/>
    <m/>
    <n v="0"/>
    <n v="1"/>
    <n v="1302"/>
    <n v="2"/>
    <x v="3"/>
    <n v="1"/>
    <n v="4"/>
    <n v="84"/>
    <n v="1"/>
    <n v="2"/>
    <n v="3"/>
    <n v="5482"/>
    <n v="16321"/>
    <n v="5"/>
    <n v="18"/>
    <x v="0"/>
    <n v="4"/>
    <n v="80"/>
    <n v="1"/>
    <n v="13"/>
    <n v="3"/>
    <n v="4"/>
    <n v="1"/>
    <n v="1"/>
    <n v="2"/>
  </r>
  <r>
    <s v="No"/>
    <s v="Travel_Rarely"/>
    <x v="0"/>
    <s v="Current Employees"/>
    <x v="0"/>
    <x v="0"/>
    <s v="STAFF-410"/>
    <n v="410"/>
    <x v="1"/>
    <x v="5"/>
    <x v="0"/>
    <s v="No"/>
    <s v="Y"/>
    <n v="2"/>
    <n v="-2"/>
    <n v="0"/>
    <n v="41"/>
    <n v="0"/>
    <m/>
    <n v="0"/>
    <n v="1"/>
    <n v="334"/>
    <n v="2"/>
    <x v="2"/>
    <n v="1"/>
    <n v="4"/>
    <n v="88"/>
    <n v="3"/>
    <n v="4"/>
    <n v="2"/>
    <n v="16015"/>
    <n v="15896"/>
    <n v="1"/>
    <n v="19"/>
    <x v="0"/>
    <n v="2"/>
    <n v="80"/>
    <n v="0"/>
    <n v="22"/>
    <n v="3"/>
    <n v="22"/>
    <n v="10"/>
    <n v="0"/>
    <n v="4"/>
  </r>
  <r>
    <s v="No"/>
    <s v="Travel_Rarely"/>
    <x v="4"/>
    <s v="Current Employees"/>
    <x v="0"/>
    <x v="2"/>
    <s v="STAFF-411"/>
    <n v="411"/>
    <x v="0"/>
    <x v="6"/>
    <x v="0"/>
    <s v="No"/>
    <s v="Y"/>
    <n v="2"/>
    <n v="-2"/>
    <n v="0"/>
    <n v="18"/>
    <n v="0"/>
    <m/>
    <n v="0"/>
    <n v="1"/>
    <n v="812"/>
    <n v="10"/>
    <x v="3"/>
    <n v="1"/>
    <n v="4"/>
    <n v="69"/>
    <n v="2"/>
    <n v="1"/>
    <n v="3"/>
    <n v="1200"/>
    <n v="9724"/>
    <n v="1"/>
    <n v="12"/>
    <x v="0"/>
    <n v="1"/>
    <n v="80"/>
    <n v="0"/>
    <n v="0"/>
    <n v="3"/>
    <n v="0"/>
    <n v="0"/>
    <n v="0"/>
    <n v="0"/>
  </r>
  <r>
    <s v="No"/>
    <s v="Travel_Rarely"/>
    <x v="2"/>
    <s v="Current Employees"/>
    <x v="1"/>
    <x v="2"/>
    <s v="STAFF-412"/>
    <n v="412"/>
    <x v="1"/>
    <x v="4"/>
    <x v="0"/>
    <s v="No"/>
    <s v="Y"/>
    <n v="2"/>
    <n v="-2"/>
    <n v="0"/>
    <n v="28"/>
    <n v="0"/>
    <m/>
    <n v="0"/>
    <n v="1"/>
    <n v="1476"/>
    <n v="16"/>
    <x v="0"/>
    <n v="1"/>
    <n v="2"/>
    <n v="68"/>
    <n v="4"/>
    <n v="2"/>
    <n v="3"/>
    <n v="5661"/>
    <n v="4824"/>
    <n v="0"/>
    <n v="19"/>
    <x v="0"/>
    <n v="3"/>
    <n v="80"/>
    <n v="0"/>
    <n v="9"/>
    <n v="3"/>
    <n v="8"/>
    <n v="3"/>
    <n v="0"/>
    <n v="7"/>
  </r>
  <r>
    <s v="No"/>
    <s v="Travel_Rarely"/>
    <x v="2"/>
    <s v="Current Employees"/>
    <x v="0"/>
    <x v="4"/>
    <s v="STAFF-416"/>
    <n v="416"/>
    <x v="1"/>
    <x v="0"/>
    <x v="1"/>
    <s v="No"/>
    <s v="Y"/>
    <n v="3"/>
    <n v="-2"/>
    <n v="0"/>
    <n v="31"/>
    <n v="0"/>
    <m/>
    <n v="0"/>
    <n v="1"/>
    <n v="218"/>
    <n v="7"/>
    <x v="3"/>
    <n v="1"/>
    <n v="4"/>
    <n v="100"/>
    <n v="4"/>
    <n v="2"/>
    <n v="4"/>
    <n v="6929"/>
    <n v="12241"/>
    <n v="4"/>
    <n v="11"/>
    <x v="0"/>
    <n v="2"/>
    <n v="80"/>
    <n v="1"/>
    <n v="10"/>
    <n v="2"/>
    <n v="8"/>
    <n v="7"/>
    <n v="7"/>
    <n v="7"/>
  </r>
  <r>
    <s v="No"/>
    <s v="Travel_Rarely"/>
    <x v="0"/>
    <s v="Current Employees"/>
    <x v="1"/>
    <x v="2"/>
    <s v="STAFF-417"/>
    <n v="417"/>
    <x v="1"/>
    <x v="4"/>
    <x v="2"/>
    <s v="No"/>
    <s v="Y"/>
    <n v="5"/>
    <n v="-2"/>
    <n v="0"/>
    <n v="39"/>
    <n v="0"/>
    <m/>
    <n v="0"/>
    <n v="1"/>
    <n v="1132"/>
    <n v="1"/>
    <x v="3"/>
    <n v="1"/>
    <n v="3"/>
    <n v="48"/>
    <n v="4"/>
    <n v="3"/>
    <n v="4"/>
    <n v="9613"/>
    <n v="10942"/>
    <n v="0"/>
    <n v="17"/>
    <x v="0"/>
    <n v="1"/>
    <n v="80"/>
    <n v="3"/>
    <n v="19"/>
    <n v="2"/>
    <n v="18"/>
    <n v="10"/>
    <n v="3"/>
    <n v="7"/>
  </r>
  <r>
    <s v="No"/>
    <s v="Non-Travel"/>
    <x v="0"/>
    <s v="Current Employees"/>
    <x v="1"/>
    <x v="0"/>
    <s v="STAFF-419"/>
    <n v="419"/>
    <x v="0"/>
    <x v="2"/>
    <x v="1"/>
    <s v="No"/>
    <s v="Y"/>
    <n v="3"/>
    <n v="-2"/>
    <n v="0"/>
    <n v="36"/>
    <n v="0"/>
    <m/>
    <n v="0"/>
    <n v="1"/>
    <n v="1105"/>
    <n v="24"/>
    <x v="2"/>
    <n v="1"/>
    <n v="2"/>
    <n v="47"/>
    <n v="3"/>
    <n v="2"/>
    <n v="2"/>
    <n v="5674"/>
    <n v="6927"/>
    <n v="7"/>
    <n v="15"/>
    <x v="0"/>
    <n v="3"/>
    <n v="80"/>
    <n v="1"/>
    <n v="11"/>
    <n v="3"/>
    <n v="9"/>
    <n v="8"/>
    <n v="0"/>
    <n v="8"/>
  </r>
  <r>
    <s v="No"/>
    <s v="Travel_Rarely"/>
    <x v="2"/>
    <s v="Current Employees"/>
    <x v="0"/>
    <x v="0"/>
    <s v="STAFF-420"/>
    <n v="420"/>
    <x v="1"/>
    <x v="0"/>
    <x v="1"/>
    <s v="No"/>
    <s v="Y"/>
    <n v="3"/>
    <n v="-2"/>
    <n v="0"/>
    <n v="32"/>
    <n v="0"/>
    <m/>
    <n v="0"/>
    <n v="1"/>
    <n v="906"/>
    <n v="7"/>
    <x v="3"/>
    <n v="1"/>
    <n v="4"/>
    <n v="91"/>
    <n v="2"/>
    <n v="2"/>
    <n v="2"/>
    <n v="5484"/>
    <n v="16985"/>
    <n v="1"/>
    <n v="14"/>
    <x v="0"/>
    <n v="3"/>
    <n v="80"/>
    <n v="1"/>
    <n v="13"/>
    <n v="2"/>
    <n v="13"/>
    <n v="8"/>
    <n v="4"/>
    <n v="8"/>
  </r>
  <r>
    <s v="No"/>
    <s v="Travel_Rarely"/>
    <x v="0"/>
    <s v="Current Employees"/>
    <x v="1"/>
    <x v="0"/>
    <s v="STAFF-421"/>
    <n v="421"/>
    <x v="0"/>
    <x v="7"/>
    <x v="1"/>
    <s v="No"/>
    <s v="Y"/>
    <n v="2"/>
    <n v="-2"/>
    <n v="0"/>
    <n v="38"/>
    <n v="0"/>
    <m/>
    <n v="0"/>
    <n v="1"/>
    <n v="849"/>
    <n v="25"/>
    <x v="0"/>
    <n v="1"/>
    <n v="1"/>
    <n v="81"/>
    <n v="2"/>
    <n v="3"/>
    <n v="2"/>
    <n v="12061"/>
    <n v="26707"/>
    <n v="3"/>
    <n v="17"/>
    <x v="0"/>
    <n v="3"/>
    <n v="80"/>
    <n v="1"/>
    <n v="19"/>
    <n v="3"/>
    <n v="10"/>
    <n v="8"/>
    <n v="0"/>
    <n v="1"/>
  </r>
  <r>
    <s v="No"/>
    <s v="Non-Travel"/>
    <x v="3"/>
    <s v="Current Employees"/>
    <x v="1"/>
    <x v="0"/>
    <s v="STAFF-422"/>
    <n v="422"/>
    <x v="1"/>
    <x v="4"/>
    <x v="2"/>
    <s v="Yes"/>
    <s v="Y"/>
    <n v="2"/>
    <n v="-2"/>
    <n v="0"/>
    <n v="58"/>
    <n v="0"/>
    <m/>
    <n v="0"/>
    <n v="1"/>
    <n v="390"/>
    <n v="1"/>
    <x v="2"/>
    <n v="1"/>
    <n v="4"/>
    <n v="32"/>
    <n v="1"/>
    <n v="2"/>
    <n v="2"/>
    <n v="5660"/>
    <n v="17056"/>
    <n v="2"/>
    <n v="13"/>
    <x v="0"/>
    <n v="4"/>
    <n v="80"/>
    <n v="1"/>
    <n v="12"/>
    <n v="3"/>
    <n v="5"/>
    <n v="3"/>
    <n v="1"/>
    <n v="2"/>
  </r>
  <r>
    <s v="No"/>
    <s v="Travel_Rarely"/>
    <x v="2"/>
    <s v="Current Employees"/>
    <x v="1"/>
    <x v="4"/>
    <s v="STAFF-423"/>
    <n v="423"/>
    <x v="1"/>
    <x v="1"/>
    <x v="1"/>
    <s v="Yes"/>
    <s v="Y"/>
    <n v="4"/>
    <n v="-2"/>
    <n v="0"/>
    <n v="31"/>
    <n v="0"/>
    <m/>
    <n v="0"/>
    <n v="1"/>
    <n v="691"/>
    <n v="5"/>
    <x v="2"/>
    <n v="1"/>
    <n v="4"/>
    <n v="86"/>
    <n v="3"/>
    <n v="1"/>
    <n v="4"/>
    <n v="4821"/>
    <n v="10077"/>
    <n v="0"/>
    <n v="12"/>
    <x v="0"/>
    <n v="3"/>
    <n v="80"/>
    <n v="1"/>
    <n v="6"/>
    <n v="3"/>
    <n v="5"/>
    <n v="2"/>
    <n v="0"/>
    <n v="3"/>
  </r>
  <r>
    <s v="No"/>
    <s v="Travel_Rarely"/>
    <x v="2"/>
    <s v="Current Employees"/>
    <x v="2"/>
    <x v="5"/>
    <s v="STAFF-424"/>
    <n v="424"/>
    <x v="1"/>
    <x v="8"/>
    <x v="1"/>
    <s v="No"/>
    <s v="Y"/>
    <n v="1"/>
    <n v="-2"/>
    <n v="0"/>
    <n v="31"/>
    <n v="0"/>
    <m/>
    <n v="0"/>
    <n v="1"/>
    <n v="106"/>
    <n v="2"/>
    <x v="3"/>
    <n v="1"/>
    <n v="1"/>
    <n v="62"/>
    <n v="2"/>
    <n v="2"/>
    <n v="3"/>
    <n v="6410"/>
    <n v="17822"/>
    <n v="3"/>
    <n v="12"/>
    <x v="0"/>
    <n v="4"/>
    <n v="80"/>
    <n v="0"/>
    <n v="9"/>
    <n v="3"/>
    <n v="2"/>
    <n v="2"/>
    <n v="1"/>
    <n v="0"/>
  </r>
  <r>
    <s v="No"/>
    <s v="Travel_Frequently"/>
    <x v="1"/>
    <s v="Current Employees"/>
    <x v="1"/>
    <x v="0"/>
    <s v="STAFF-425"/>
    <n v="425"/>
    <x v="1"/>
    <x v="2"/>
    <x v="2"/>
    <s v="No"/>
    <s v="Y"/>
    <n v="2"/>
    <n v="-2"/>
    <n v="0"/>
    <n v="45"/>
    <n v="0"/>
    <m/>
    <n v="0"/>
    <n v="1"/>
    <n v="1249"/>
    <n v="7"/>
    <x v="3"/>
    <n v="1"/>
    <n v="1"/>
    <n v="97"/>
    <n v="3"/>
    <n v="3"/>
    <n v="2"/>
    <n v="5210"/>
    <n v="20308"/>
    <n v="1"/>
    <n v="18"/>
    <x v="0"/>
    <n v="1"/>
    <n v="80"/>
    <n v="1"/>
    <n v="24"/>
    <n v="3"/>
    <n v="24"/>
    <n v="9"/>
    <n v="9"/>
    <n v="11"/>
  </r>
  <r>
    <s v="No"/>
    <s v="Travel_Rarely"/>
    <x v="2"/>
    <s v="Current Employees"/>
    <x v="1"/>
    <x v="0"/>
    <s v="STAFF-426"/>
    <n v="426"/>
    <x v="1"/>
    <x v="1"/>
    <x v="2"/>
    <s v="Yes"/>
    <s v="Y"/>
    <n v="2"/>
    <n v="-2"/>
    <n v="0"/>
    <n v="31"/>
    <n v="0"/>
    <m/>
    <n v="0"/>
    <n v="1"/>
    <n v="192"/>
    <n v="2"/>
    <x v="2"/>
    <n v="1"/>
    <n v="3"/>
    <n v="32"/>
    <n v="3"/>
    <n v="1"/>
    <n v="2"/>
    <n v="2695"/>
    <n v="7747"/>
    <n v="0"/>
    <n v="18"/>
    <x v="0"/>
    <n v="2"/>
    <n v="80"/>
    <n v="1"/>
    <n v="3"/>
    <n v="1"/>
    <n v="2"/>
    <n v="2"/>
    <n v="2"/>
    <n v="2"/>
  </r>
  <r>
    <s v="No"/>
    <s v="Travel_Frequently"/>
    <x v="2"/>
    <s v="Current Employees"/>
    <x v="1"/>
    <x v="0"/>
    <s v="STAFF-428"/>
    <n v="428"/>
    <x v="0"/>
    <x v="5"/>
    <x v="1"/>
    <s v="No"/>
    <s v="Y"/>
    <n v="2"/>
    <n v="-2"/>
    <n v="0"/>
    <n v="33"/>
    <n v="0"/>
    <m/>
    <n v="0"/>
    <n v="1"/>
    <n v="553"/>
    <n v="5"/>
    <x v="2"/>
    <n v="1"/>
    <n v="4"/>
    <n v="74"/>
    <n v="3"/>
    <n v="3"/>
    <n v="2"/>
    <n v="11878"/>
    <n v="23364"/>
    <n v="6"/>
    <n v="11"/>
    <x v="0"/>
    <n v="2"/>
    <n v="80"/>
    <n v="2"/>
    <n v="12"/>
    <n v="3"/>
    <n v="10"/>
    <n v="6"/>
    <n v="8"/>
    <n v="8"/>
  </r>
  <r>
    <s v="No"/>
    <s v="Travel_Rarely"/>
    <x v="0"/>
    <s v="Current Employees"/>
    <x v="1"/>
    <x v="2"/>
    <s v="STAFF-429"/>
    <n v="429"/>
    <x v="1"/>
    <x v="5"/>
    <x v="1"/>
    <s v="Yes"/>
    <s v="Y"/>
    <n v="3"/>
    <n v="-2"/>
    <n v="0"/>
    <n v="39"/>
    <n v="0"/>
    <m/>
    <n v="0"/>
    <n v="1"/>
    <n v="117"/>
    <n v="10"/>
    <x v="1"/>
    <n v="1"/>
    <n v="3"/>
    <n v="99"/>
    <n v="3"/>
    <n v="4"/>
    <n v="3"/>
    <n v="17068"/>
    <n v="5355"/>
    <n v="1"/>
    <n v="14"/>
    <x v="0"/>
    <n v="4"/>
    <n v="80"/>
    <n v="0"/>
    <n v="21"/>
    <n v="3"/>
    <n v="21"/>
    <n v="9"/>
    <n v="11"/>
    <n v="10"/>
  </r>
  <r>
    <s v="No"/>
    <s v="Travel_Frequently"/>
    <x v="0"/>
    <s v="Current Employees"/>
    <x v="1"/>
    <x v="0"/>
    <s v="STAFF-430"/>
    <n v="430"/>
    <x v="0"/>
    <x v="2"/>
    <x v="0"/>
    <s v="No"/>
    <s v="Y"/>
    <n v="5"/>
    <n v="-2"/>
    <n v="0"/>
    <n v="43"/>
    <n v="0"/>
    <m/>
    <n v="0"/>
    <n v="1"/>
    <n v="185"/>
    <n v="10"/>
    <x v="2"/>
    <n v="1"/>
    <n v="3"/>
    <n v="33"/>
    <n v="3"/>
    <n v="1"/>
    <n v="2"/>
    <n v="2455"/>
    <n v="10675"/>
    <n v="0"/>
    <n v="19"/>
    <x v="0"/>
    <n v="1"/>
    <n v="80"/>
    <n v="0"/>
    <n v="9"/>
    <n v="3"/>
    <n v="8"/>
    <n v="7"/>
    <n v="1"/>
    <n v="7"/>
  </r>
  <r>
    <s v="No"/>
    <s v="Travel_Rarely"/>
    <x v="1"/>
    <s v="Current Employees"/>
    <x v="1"/>
    <x v="4"/>
    <s v="STAFF-431"/>
    <n v="431"/>
    <x v="0"/>
    <x v="4"/>
    <x v="0"/>
    <s v="Yes"/>
    <s v="Y"/>
    <n v="2"/>
    <n v="-2"/>
    <n v="0"/>
    <n v="49"/>
    <n v="0"/>
    <m/>
    <n v="0"/>
    <n v="1"/>
    <n v="1091"/>
    <n v="1"/>
    <x v="0"/>
    <n v="1"/>
    <n v="4"/>
    <n v="90"/>
    <n v="2"/>
    <n v="4"/>
    <n v="4"/>
    <n v="13964"/>
    <n v="17810"/>
    <n v="7"/>
    <n v="12"/>
    <x v="0"/>
    <n v="4"/>
    <n v="80"/>
    <n v="0"/>
    <n v="25"/>
    <n v="3"/>
    <n v="7"/>
    <n v="1"/>
    <n v="0"/>
    <n v="7"/>
  </r>
  <r>
    <s v="Yes"/>
    <s v="Travel_Rarely"/>
    <x v="1"/>
    <s v="Ex-Employees"/>
    <x v="1"/>
    <x v="2"/>
    <s v="STAFF-433"/>
    <n v="433"/>
    <x v="1"/>
    <x v="1"/>
    <x v="1"/>
    <s v="No"/>
    <s v="Y"/>
    <n v="3"/>
    <n v="-2"/>
    <n v="0"/>
    <n v="52"/>
    <n v="1"/>
    <n v="1"/>
    <n v="1"/>
    <n v="0"/>
    <n v="723"/>
    <n v="8"/>
    <x v="2"/>
    <n v="1"/>
    <n v="3"/>
    <n v="85"/>
    <n v="2"/>
    <n v="2"/>
    <n v="3"/>
    <n v="4941"/>
    <n v="17747"/>
    <n v="2"/>
    <n v="15"/>
    <x v="0"/>
    <n v="1"/>
    <n v="80"/>
    <n v="0"/>
    <n v="11"/>
    <n v="2"/>
    <n v="8"/>
    <n v="2"/>
    <n v="7"/>
    <n v="7"/>
  </r>
  <r>
    <s v="No"/>
    <s v="Travel_Rarely"/>
    <x v="2"/>
    <s v="Current Employees"/>
    <x v="1"/>
    <x v="0"/>
    <s v="STAFF-434"/>
    <n v="434"/>
    <x v="0"/>
    <x v="1"/>
    <x v="0"/>
    <s v="Yes"/>
    <s v="Y"/>
    <n v="2"/>
    <n v="-2"/>
    <n v="0"/>
    <n v="27"/>
    <n v="0"/>
    <m/>
    <n v="0"/>
    <n v="1"/>
    <n v="1220"/>
    <n v="5"/>
    <x v="3"/>
    <n v="1"/>
    <n v="3"/>
    <n v="85"/>
    <n v="3"/>
    <n v="1"/>
    <n v="2"/>
    <n v="2478"/>
    <n v="20938"/>
    <n v="1"/>
    <n v="12"/>
    <x v="0"/>
    <n v="2"/>
    <n v="80"/>
    <n v="0"/>
    <n v="4"/>
    <n v="2"/>
    <n v="4"/>
    <n v="3"/>
    <n v="1"/>
    <n v="2"/>
  </r>
  <r>
    <s v="No"/>
    <s v="Travel_Rarely"/>
    <x v="2"/>
    <s v="Current Employees"/>
    <x v="0"/>
    <x v="4"/>
    <s v="STAFF-436"/>
    <n v="436"/>
    <x v="0"/>
    <x v="0"/>
    <x v="1"/>
    <s v="Yes"/>
    <s v="Y"/>
    <n v="2"/>
    <n v="-2"/>
    <n v="0"/>
    <n v="32"/>
    <n v="0"/>
    <m/>
    <n v="0"/>
    <n v="1"/>
    <n v="588"/>
    <n v="8"/>
    <x v="0"/>
    <n v="1"/>
    <n v="4"/>
    <n v="65"/>
    <n v="2"/>
    <n v="2"/>
    <n v="4"/>
    <n v="5228"/>
    <n v="24624"/>
    <n v="1"/>
    <n v="11"/>
    <x v="0"/>
    <n v="4"/>
    <n v="80"/>
    <n v="0"/>
    <n v="13"/>
    <n v="3"/>
    <n v="13"/>
    <n v="12"/>
    <n v="11"/>
    <n v="9"/>
  </r>
  <r>
    <s v="No"/>
    <s v="Travel_Rarely"/>
    <x v="2"/>
    <s v="Current Employees"/>
    <x v="0"/>
    <x v="0"/>
    <s v="STAFF-437"/>
    <n v="437"/>
    <x v="1"/>
    <x v="0"/>
    <x v="0"/>
    <s v="Yes"/>
    <s v="Y"/>
    <n v="3"/>
    <n v="-2"/>
    <n v="0"/>
    <n v="27"/>
    <n v="0"/>
    <m/>
    <n v="0"/>
    <n v="1"/>
    <n v="1377"/>
    <n v="2"/>
    <x v="3"/>
    <n v="1"/>
    <n v="4"/>
    <n v="74"/>
    <n v="3"/>
    <n v="2"/>
    <n v="2"/>
    <n v="4478"/>
    <n v="5242"/>
    <n v="1"/>
    <n v="11"/>
    <x v="0"/>
    <n v="1"/>
    <n v="80"/>
    <n v="0"/>
    <n v="5"/>
    <n v="3"/>
    <n v="5"/>
    <n v="4"/>
    <n v="0"/>
    <n v="4"/>
  </r>
  <r>
    <s v="No"/>
    <s v="Travel_Rarely"/>
    <x v="2"/>
    <s v="Current Employees"/>
    <x v="0"/>
    <x v="3"/>
    <s v="STAFF-438"/>
    <n v="438"/>
    <x v="1"/>
    <x v="0"/>
    <x v="2"/>
    <s v="No"/>
    <s v="Y"/>
    <n v="3"/>
    <n v="-2"/>
    <n v="0"/>
    <n v="31"/>
    <n v="0"/>
    <m/>
    <n v="0"/>
    <n v="1"/>
    <n v="691"/>
    <n v="7"/>
    <x v="3"/>
    <n v="1"/>
    <n v="4"/>
    <n v="73"/>
    <n v="3"/>
    <n v="2"/>
    <n v="1"/>
    <n v="7547"/>
    <n v="7143"/>
    <n v="4"/>
    <n v="12"/>
    <x v="0"/>
    <n v="4"/>
    <n v="80"/>
    <n v="3"/>
    <n v="13"/>
    <n v="3"/>
    <n v="7"/>
    <n v="7"/>
    <n v="1"/>
    <n v="7"/>
  </r>
  <r>
    <s v="No"/>
    <s v="Travel_Rarely"/>
    <x v="2"/>
    <s v="Current Employees"/>
    <x v="1"/>
    <x v="2"/>
    <s v="STAFF-439"/>
    <n v="439"/>
    <x v="0"/>
    <x v="1"/>
    <x v="0"/>
    <s v="No"/>
    <s v="Y"/>
    <n v="0"/>
    <n v="-2"/>
    <n v="0"/>
    <n v="32"/>
    <n v="0"/>
    <m/>
    <n v="0"/>
    <n v="1"/>
    <n v="1018"/>
    <n v="2"/>
    <x v="2"/>
    <n v="1"/>
    <n v="1"/>
    <n v="74"/>
    <n v="4"/>
    <n v="2"/>
    <n v="4"/>
    <n v="5055"/>
    <n v="10557"/>
    <n v="7"/>
    <n v="16"/>
    <x v="0"/>
    <n v="3"/>
    <n v="80"/>
    <n v="0"/>
    <n v="10"/>
    <n v="2"/>
    <n v="7"/>
    <n v="7"/>
    <n v="0"/>
    <n v="7"/>
  </r>
  <r>
    <s v="Yes"/>
    <s v="Travel_Rarely"/>
    <x v="2"/>
    <s v="Ex-Employees"/>
    <x v="1"/>
    <x v="2"/>
    <s v="STAFF-440"/>
    <n v="440"/>
    <x v="1"/>
    <x v="1"/>
    <x v="1"/>
    <s v="Yes"/>
    <s v="Y"/>
    <n v="4"/>
    <n v="-2"/>
    <n v="0"/>
    <n v="28"/>
    <n v="1"/>
    <n v="1"/>
    <n v="1"/>
    <n v="0"/>
    <n v="1157"/>
    <n v="2"/>
    <x v="2"/>
    <n v="1"/>
    <n v="1"/>
    <n v="84"/>
    <n v="1"/>
    <n v="1"/>
    <n v="4"/>
    <n v="3464"/>
    <n v="24737"/>
    <n v="5"/>
    <n v="13"/>
    <x v="0"/>
    <n v="4"/>
    <n v="80"/>
    <n v="0"/>
    <n v="5"/>
    <n v="2"/>
    <n v="3"/>
    <n v="2"/>
    <n v="2"/>
    <n v="2"/>
  </r>
  <r>
    <s v="No"/>
    <s v="Travel_Rarely"/>
    <x v="2"/>
    <s v="Current Employees"/>
    <x v="1"/>
    <x v="2"/>
    <s v="STAFF-441"/>
    <n v="441"/>
    <x v="0"/>
    <x v="1"/>
    <x v="1"/>
    <s v="No"/>
    <s v="Y"/>
    <n v="2"/>
    <n v="-2"/>
    <n v="0"/>
    <n v="30"/>
    <n v="0"/>
    <m/>
    <n v="0"/>
    <n v="1"/>
    <n v="1275"/>
    <n v="28"/>
    <x v="0"/>
    <n v="1"/>
    <n v="4"/>
    <n v="64"/>
    <n v="3"/>
    <n v="2"/>
    <n v="4"/>
    <n v="5775"/>
    <n v="11934"/>
    <n v="1"/>
    <n v="13"/>
    <x v="0"/>
    <n v="4"/>
    <n v="80"/>
    <n v="2"/>
    <n v="11"/>
    <n v="3"/>
    <n v="10"/>
    <n v="8"/>
    <n v="1"/>
    <n v="9"/>
  </r>
  <r>
    <s v="No"/>
    <s v="Travel_Frequently"/>
    <x v="2"/>
    <s v="Current Employees"/>
    <x v="1"/>
    <x v="0"/>
    <s v="STAFF-442"/>
    <n v="442"/>
    <x v="0"/>
    <x v="3"/>
    <x v="1"/>
    <s v="No"/>
    <s v="Y"/>
    <n v="2"/>
    <n v="-2"/>
    <n v="0"/>
    <n v="31"/>
    <n v="0"/>
    <m/>
    <n v="0"/>
    <n v="1"/>
    <n v="798"/>
    <n v="7"/>
    <x v="0"/>
    <n v="1"/>
    <n v="3"/>
    <n v="48"/>
    <n v="2"/>
    <n v="3"/>
    <n v="2"/>
    <n v="8943"/>
    <n v="14034"/>
    <n v="1"/>
    <n v="24"/>
    <x v="1"/>
    <n v="1"/>
    <n v="80"/>
    <n v="1"/>
    <n v="10"/>
    <n v="3"/>
    <n v="10"/>
    <n v="9"/>
    <n v="8"/>
    <n v="9"/>
  </r>
  <r>
    <s v="No"/>
    <s v="Travel_Frequently"/>
    <x v="0"/>
    <s v="Current Employees"/>
    <x v="1"/>
    <x v="2"/>
    <s v="STAFF-444"/>
    <n v="444"/>
    <x v="1"/>
    <x v="5"/>
    <x v="1"/>
    <s v="No"/>
    <s v="Y"/>
    <n v="2"/>
    <n v="-2"/>
    <n v="0"/>
    <n v="39"/>
    <n v="0"/>
    <m/>
    <n v="0"/>
    <n v="1"/>
    <n v="672"/>
    <n v="7"/>
    <x v="0"/>
    <n v="1"/>
    <n v="3"/>
    <n v="54"/>
    <n v="2"/>
    <n v="5"/>
    <n v="4"/>
    <n v="19272"/>
    <n v="21141"/>
    <n v="1"/>
    <n v="15"/>
    <x v="0"/>
    <n v="1"/>
    <n v="80"/>
    <n v="1"/>
    <n v="21"/>
    <n v="3"/>
    <n v="21"/>
    <n v="9"/>
    <n v="13"/>
    <n v="3"/>
  </r>
  <r>
    <s v="Yes"/>
    <s v="Travel_Rarely"/>
    <x v="0"/>
    <s v="Ex-Employees"/>
    <x v="0"/>
    <x v="2"/>
    <s v="STAFF-445"/>
    <n v="445"/>
    <x v="0"/>
    <x v="0"/>
    <x v="1"/>
    <s v="Yes"/>
    <s v="Y"/>
    <n v="3"/>
    <n v="-2"/>
    <n v="0"/>
    <n v="39"/>
    <n v="1"/>
    <n v="1"/>
    <n v="1"/>
    <n v="0"/>
    <n v="1162"/>
    <n v="3"/>
    <x v="0"/>
    <n v="1"/>
    <n v="4"/>
    <n v="41"/>
    <n v="3"/>
    <n v="2"/>
    <n v="3"/>
    <n v="5238"/>
    <n v="17778"/>
    <n v="4"/>
    <n v="18"/>
    <x v="0"/>
    <n v="1"/>
    <n v="80"/>
    <n v="0"/>
    <n v="12"/>
    <n v="2"/>
    <n v="1"/>
    <n v="0"/>
    <n v="0"/>
    <n v="0"/>
  </r>
  <r>
    <s v="No"/>
    <s v="Travel_Frequently"/>
    <x v="2"/>
    <s v="Current Employees"/>
    <x v="0"/>
    <x v="3"/>
    <s v="STAFF-446"/>
    <n v="446"/>
    <x v="1"/>
    <x v="0"/>
    <x v="0"/>
    <s v="No"/>
    <s v="Y"/>
    <n v="6"/>
    <n v="-2"/>
    <n v="0"/>
    <n v="33"/>
    <n v="0"/>
    <m/>
    <n v="0"/>
    <n v="1"/>
    <n v="508"/>
    <n v="10"/>
    <x v="3"/>
    <n v="1"/>
    <n v="2"/>
    <n v="46"/>
    <n v="2"/>
    <n v="2"/>
    <n v="1"/>
    <n v="4682"/>
    <n v="4317"/>
    <n v="3"/>
    <n v="14"/>
    <x v="0"/>
    <n v="3"/>
    <n v="80"/>
    <n v="0"/>
    <n v="9"/>
    <n v="2"/>
    <n v="7"/>
    <n v="7"/>
    <n v="0"/>
    <n v="1"/>
  </r>
  <r>
    <s v="No"/>
    <s v="Travel_Rarely"/>
    <x v="1"/>
    <s v="Current Employees"/>
    <x v="1"/>
    <x v="0"/>
    <s v="STAFF-447"/>
    <n v="447"/>
    <x v="1"/>
    <x v="7"/>
    <x v="1"/>
    <s v="No"/>
    <s v="Y"/>
    <n v="2"/>
    <n v="-2"/>
    <n v="0"/>
    <n v="47"/>
    <n v="0"/>
    <m/>
    <n v="0"/>
    <n v="1"/>
    <n v="1482"/>
    <n v="5"/>
    <x v="4"/>
    <n v="1"/>
    <n v="4"/>
    <n v="42"/>
    <n v="3"/>
    <n v="5"/>
    <n v="2"/>
    <n v="18300"/>
    <n v="16375"/>
    <n v="4"/>
    <n v="11"/>
    <x v="0"/>
    <n v="2"/>
    <n v="80"/>
    <n v="1"/>
    <n v="21"/>
    <n v="3"/>
    <n v="3"/>
    <n v="2"/>
    <n v="1"/>
    <n v="1"/>
  </r>
  <r>
    <s v="No"/>
    <s v="Travel_Frequently"/>
    <x v="0"/>
    <s v="Current Employees"/>
    <x v="1"/>
    <x v="0"/>
    <s v="STAFF-448"/>
    <n v="448"/>
    <x v="0"/>
    <x v="2"/>
    <x v="2"/>
    <s v="No"/>
    <s v="Y"/>
    <n v="3"/>
    <n v="-2"/>
    <n v="0"/>
    <n v="43"/>
    <n v="0"/>
    <m/>
    <n v="0"/>
    <n v="1"/>
    <n v="559"/>
    <n v="10"/>
    <x v="2"/>
    <n v="1"/>
    <n v="3"/>
    <n v="82"/>
    <n v="2"/>
    <n v="2"/>
    <n v="2"/>
    <n v="5257"/>
    <n v="6227"/>
    <n v="1"/>
    <n v="11"/>
    <x v="0"/>
    <n v="2"/>
    <n v="80"/>
    <n v="1"/>
    <n v="9"/>
    <n v="4"/>
    <n v="9"/>
    <n v="7"/>
    <n v="0"/>
    <n v="0"/>
  </r>
  <r>
    <s v="No"/>
    <s v="Non-Travel"/>
    <x v="2"/>
    <s v="Current Employees"/>
    <x v="0"/>
    <x v="3"/>
    <s v="STAFF-449"/>
    <n v="449"/>
    <x v="1"/>
    <x v="0"/>
    <x v="1"/>
    <s v="Yes"/>
    <s v="Y"/>
    <n v="0"/>
    <n v="-2"/>
    <n v="0"/>
    <n v="27"/>
    <n v="0"/>
    <m/>
    <n v="0"/>
    <n v="1"/>
    <n v="210"/>
    <n v="1"/>
    <x v="1"/>
    <n v="1"/>
    <n v="3"/>
    <n v="73"/>
    <n v="3"/>
    <n v="2"/>
    <n v="1"/>
    <n v="6349"/>
    <n v="22107"/>
    <n v="0"/>
    <n v="13"/>
    <x v="0"/>
    <n v="4"/>
    <n v="80"/>
    <n v="1"/>
    <n v="6"/>
    <n v="3"/>
    <n v="5"/>
    <n v="4"/>
    <n v="1"/>
    <n v="4"/>
  </r>
  <r>
    <s v="No"/>
    <s v="Travel_Frequently"/>
    <x v="1"/>
    <s v="Current Employees"/>
    <x v="1"/>
    <x v="0"/>
    <s v="STAFF-450"/>
    <n v="450"/>
    <x v="0"/>
    <x v="1"/>
    <x v="0"/>
    <s v="No"/>
    <s v="Y"/>
    <n v="4"/>
    <n v="-2"/>
    <n v="0"/>
    <n v="54"/>
    <n v="0"/>
    <m/>
    <n v="0"/>
    <n v="1"/>
    <n v="928"/>
    <n v="20"/>
    <x v="2"/>
    <n v="1"/>
    <n v="4"/>
    <n v="31"/>
    <n v="3"/>
    <n v="2"/>
    <n v="2"/>
    <n v="4869"/>
    <n v="16885"/>
    <n v="3"/>
    <n v="12"/>
    <x v="0"/>
    <n v="4"/>
    <n v="80"/>
    <n v="0"/>
    <n v="20"/>
    <n v="2"/>
    <n v="4"/>
    <n v="3"/>
    <n v="0"/>
    <n v="3"/>
  </r>
  <r>
    <s v="No"/>
    <s v="Travel_Rarely"/>
    <x v="0"/>
    <s v="Current Employees"/>
    <x v="1"/>
    <x v="0"/>
    <s v="STAFF-451"/>
    <n v="451"/>
    <x v="0"/>
    <x v="4"/>
    <x v="1"/>
    <s v="No"/>
    <s v="Y"/>
    <n v="1"/>
    <n v="-2"/>
    <n v="0"/>
    <n v="43"/>
    <n v="0"/>
    <m/>
    <n v="0"/>
    <n v="1"/>
    <n v="1001"/>
    <n v="7"/>
    <x v="3"/>
    <n v="1"/>
    <n v="3"/>
    <n v="43"/>
    <n v="3"/>
    <n v="3"/>
    <n v="2"/>
    <n v="9985"/>
    <n v="9262"/>
    <n v="8"/>
    <n v="16"/>
    <x v="0"/>
    <n v="1"/>
    <n v="80"/>
    <n v="1"/>
    <n v="10"/>
    <n v="2"/>
    <n v="1"/>
    <n v="0"/>
    <n v="0"/>
    <n v="0"/>
  </r>
  <r>
    <s v="No"/>
    <s v="Travel_Rarely"/>
    <x v="1"/>
    <s v="Current Employees"/>
    <x v="1"/>
    <x v="1"/>
    <s v="STAFF-452"/>
    <n v="452"/>
    <x v="1"/>
    <x v="1"/>
    <x v="1"/>
    <s v="No"/>
    <s v="Y"/>
    <n v="3"/>
    <n v="-2"/>
    <n v="0"/>
    <n v="45"/>
    <n v="0"/>
    <m/>
    <n v="0"/>
    <n v="1"/>
    <n v="549"/>
    <n v="8"/>
    <x v="2"/>
    <n v="1"/>
    <n v="4"/>
    <n v="75"/>
    <n v="3"/>
    <n v="2"/>
    <n v="4"/>
    <n v="3697"/>
    <n v="9278"/>
    <n v="9"/>
    <n v="14"/>
    <x v="0"/>
    <n v="1"/>
    <n v="80"/>
    <n v="2"/>
    <n v="12"/>
    <n v="3"/>
    <n v="10"/>
    <n v="9"/>
    <n v="9"/>
    <n v="8"/>
  </r>
  <r>
    <s v="No"/>
    <s v="Travel_Rarely"/>
    <x v="0"/>
    <s v="Current Employees"/>
    <x v="0"/>
    <x v="2"/>
    <s v="STAFF-453"/>
    <n v="453"/>
    <x v="1"/>
    <x v="0"/>
    <x v="1"/>
    <s v="Yes"/>
    <s v="Y"/>
    <n v="2"/>
    <n v="-2"/>
    <n v="0"/>
    <n v="40"/>
    <n v="0"/>
    <m/>
    <n v="0"/>
    <n v="1"/>
    <n v="1124"/>
    <n v="1"/>
    <x v="0"/>
    <n v="1"/>
    <n v="2"/>
    <n v="57"/>
    <n v="1"/>
    <n v="2"/>
    <n v="4"/>
    <n v="7457"/>
    <n v="13273"/>
    <n v="2"/>
    <n v="22"/>
    <x v="1"/>
    <n v="3"/>
    <n v="80"/>
    <n v="3"/>
    <n v="6"/>
    <n v="2"/>
    <n v="4"/>
    <n v="3"/>
    <n v="0"/>
    <n v="2"/>
  </r>
  <r>
    <s v="Yes"/>
    <s v="Travel_Rarely"/>
    <x v="2"/>
    <s v="Ex-Employees"/>
    <x v="1"/>
    <x v="1"/>
    <s v="STAFF-454"/>
    <n v="454"/>
    <x v="1"/>
    <x v="2"/>
    <x v="1"/>
    <s v="Yes"/>
    <s v="Y"/>
    <n v="4"/>
    <n v="-2"/>
    <n v="0"/>
    <n v="29"/>
    <n v="1"/>
    <n v="1"/>
    <n v="1"/>
    <n v="0"/>
    <n v="318"/>
    <n v="8"/>
    <x v="2"/>
    <n v="1"/>
    <n v="2"/>
    <n v="77"/>
    <n v="1"/>
    <n v="1"/>
    <n v="3"/>
    <n v="2119"/>
    <n v="4759"/>
    <n v="1"/>
    <n v="11"/>
    <x v="0"/>
    <n v="4"/>
    <n v="80"/>
    <n v="0"/>
    <n v="7"/>
    <n v="2"/>
    <n v="7"/>
    <n v="7"/>
    <n v="0"/>
    <n v="7"/>
  </r>
  <r>
    <s v="No"/>
    <s v="Travel_Rarely"/>
    <x v="2"/>
    <s v="Current Employees"/>
    <x v="1"/>
    <x v="1"/>
    <s v="STAFF-455"/>
    <n v="455"/>
    <x v="1"/>
    <x v="2"/>
    <x v="0"/>
    <s v="No"/>
    <s v="Y"/>
    <n v="2"/>
    <n v="-2"/>
    <n v="0"/>
    <n v="29"/>
    <n v="0"/>
    <m/>
    <n v="0"/>
    <n v="1"/>
    <n v="738"/>
    <n v="9"/>
    <x v="4"/>
    <n v="1"/>
    <n v="2"/>
    <n v="30"/>
    <n v="2"/>
    <n v="1"/>
    <n v="4"/>
    <n v="3983"/>
    <n v="7621"/>
    <n v="0"/>
    <n v="17"/>
    <x v="0"/>
    <n v="3"/>
    <n v="80"/>
    <n v="0"/>
    <n v="4"/>
    <n v="3"/>
    <n v="3"/>
    <n v="2"/>
    <n v="2"/>
    <n v="2"/>
  </r>
  <r>
    <s v="No"/>
    <s v="Travel_Rarely"/>
    <x v="2"/>
    <s v="Current Employees"/>
    <x v="0"/>
    <x v="3"/>
    <s v="STAFF-456"/>
    <n v="456"/>
    <x v="0"/>
    <x v="0"/>
    <x v="2"/>
    <s v="No"/>
    <s v="Y"/>
    <n v="2"/>
    <n v="-2"/>
    <n v="0"/>
    <n v="30"/>
    <n v="0"/>
    <m/>
    <n v="0"/>
    <n v="1"/>
    <n v="570"/>
    <n v="5"/>
    <x v="3"/>
    <n v="1"/>
    <n v="4"/>
    <n v="30"/>
    <n v="2"/>
    <n v="2"/>
    <n v="1"/>
    <n v="6118"/>
    <n v="5431"/>
    <n v="1"/>
    <n v="13"/>
    <x v="0"/>
    <n v="3"/>
    <n v="80"/>
    <n v="3"/>
    <n v="10"/>
    <n v="3"/>
    <n v="10"/>
    <n v="9"/>
    <n v="1"/>
    <n v="2"/>
  </r>
  <r>
    <s v="No"/>
    <s v="Travel_Rarely"/>
    <x v="2"/>
    <s v="Current Employees"/>
    <x v="0"/>
    <x v="3"/>
    <s v="STAFF-458"/>
    <n v="458"/>
    <x v="0"/>
    <x v="0"/>
    <x v="1"/>
    <s v="No"/>
    <s v="Y"/>
    <n v="3"/>
    <n v="-2"/>
    <n v="0"/>
    <n v="27"/>
    <n v="0"/>
    <m/>
    <n v="0"/>
    <n v="1"/>
    <n v="1130"/>
    <n v="8"/>
    <x v="2"/>
    <n v="1"/>
    <n v="2"/>
    <n v="56"/>
    <n v="3"/>
    <n v="2"/>
    <n v="1"/>
    <n v="6214"/>
    <n v="3415"/>
    <n v="1"/>
    <n v="18"/>
    <x v="0"/>
    <n v="1"/>
    <n v="80"/>
    <n v="1"/>
    <n v="8"/>
    <n v="3"/>
    <n v="8"/>
    <n v="7"/>
    <n v="0"/>
    <n v="7"/>
  </r>
  <r>
    <s v="No"/>
    <s v="Travel_Rarely"/>
    <x v="0"/>
    <s v="Current Employees"/>
    <x v="1"/>
    <x v="2"/>
    <s v="STAFF-460"/>
    <n v="460"/>
    <x v="1"/>
    <x v="3"/>
    <x v="2"/>
    <s v="No"/>
    <s v="Y"/>
    <n v="2"/>
    <n v="-2"/>
    <n v="0"/>
    <n v="37"/>
    <n v="0"/>
    <m/>
    <n v="0"/>
    <n v="1"/>
    <n v="1192"/>
    <n v="5"/>
    <x v="0"/>
    <n v="1"/>
    <n v="4"/>
    <n v="61"/>
    <n v="3"/>
    <n v="2"/>
    <n v="4"/>
    <n v="6347"/>
    <n v="23177"/>
    <n v="7"/>
    <n v="16"/>
    <x v="0"/>
    <n v="3"/>
    <n v="80"/>
    <n v="2"/>
    <n v="8"/>
    <n v="2"/>
    <n v="6"/>
    <n v="2"/>
    <n v="0"/>
    <n v="4"/>
  </r>
  <r>
    <s v="No"/>
    <s v="Travel_Rarely"/>
    <x v="0"/>
    <s v="Current Employees"/>
    <x v="1"/>
    <x v="0"/>
    <s v="STAFF-461"/>
    <n v="461"/>
    <x v="1"/>
    <x v="7"/>
    <x v="2"/>
    <s v="Yes"/>
    <s v="Y"/>
    <n v="3"/>
    <n v="-2"/>
    <n v="0"/>
    <n v="38"/>
    <n v="0"/>
    <m/>
    <n v="0"/>
    <n v="1"/>
    <n v="343"/>
    <n v="15"/>
    <x v="0"/>
    <n v="1"/>
    <n v="3"/>
    <n v="92"/>
    <n v="2"/>
    <n v="3"/>
    <n v="2"/>
    <n v="11510"/>
    <n v="15682"/>
    <n v="0"/>
    <n v="14"/>
    <x v="0"/>
    <n v="2"/>
    <n v="80"/>
    <n v="1"/>
    <n v="12"/>
    <n v="3"/>
    <n v="11"/>
    <n v="10"/>
    <n v="2"/>
    <n v="9"/>
  </r>
  <r>
    <s v="No"/>
    <s v="Travel_Rarely"/>
    <x v="2"/>
    <s v="Current Employees"/>
    <x v="1"/>
    <x v="2"/>
    <s v="STAFF-462"/>
    <n v="462"/>
    <x v="0"/>
    <x v="3"/>
    <x v="0"/>
    <s v="Yes"/>
    <s v="Y"/>
    <n v="2"/>
    <n v="-2"/>
    <n v="0"/>
    <n v="31"/>
    <n v="0"/>
    <m/>
    <n v="0"/>
    <n v="1"/>
    <n v="1232"/>
    <n v="7"/>
    <x v="2"/>
    <n v="1"/>
    <n v="3"/>
    <n v="39"/>
    <n v="3"/>
    <n v="3"/>
    <n v="4"/>
    <n v="7143"/>
    <n v="25713"/>
    <n v="1"/>
    <n v="14"/>
    <x v="0"/>
    <n v="3"/>
    <n v="80"/>
    <n v="0"/>
    <n v="11"/>
    <n v="2"/>
    <n v="11"/>
    <n v="9"/>
    <n v="4"/>
    <n v="10"/>
  </r>
  <r>
    <s v="No"/>
    <s v="Travel_Rarely"/>
    <x v="2"/>
    <s v="Current Employees"/>
    <x v="0"/>
    <x v="3"/>
    <s v="STAFF-463"/>
    <n v="463"/>
    <x v="0"/>
    <x v="0"/>
    <x v="2"/>
    <s v="Yes"/>
    <s v="Y"/>
    <n v="2"/>
    <n v="-2"/>
    <n v="0"/>
    <n v="29"/>
    <n v="0"/>
    <m/>
    <n v="0"/>
    <n v="1"/>
    <n v="144"/>
    <n v="10"/>
    <x v="1"/>
    <n v="1"/>
    <n v="4"/>
    <n v="39"/>
    <n v="2"/>
    <n v="2"/>
    <n v="1"/>
    <n v="8268"/>
    <n v="11866"/>
    <n v="1"/>
    <n v="14"/>
    <x v="0"/>
    <n v="1"/>
    <n v="80"/>
    <n v="2"/>
    <n v="7"/>
    <n v="3"/>
    <n v="7"/>
    <n v="7"/>
    <n v="1"/>
    <n v="7"/>
  </r>
  <r>
    <s v="No"/>
    <s v="Travel_Rarely"/>
    <x v="0"/>
    <s v="Current Employees"/>
    <x v="1"/>
    <x v="4"/>
    <s v="STAFF-464"/>
    <n v="464"/>
    <x v="1"/>
    <x v="3"/>
    <x v="0"/>
    <s v="No"/>
    <s v="Y"/>
    <n v="5"/>
    <n v="-2"/>
    <n v="0"/>
    <n v="35"/>
    <n v="0"/>
    <m/>
    <n v="0"/>
    <n v="1"/>
    <n v="1296"/>
    <n v="5"/>
    <x v="2"/>
    <n v="1"/>
    <n v="4"/>
    <n v="62"/>
    <n v="3"/>
    <n v="3"/>
    <n v="4"/>
    <n v="8095"/>
    <n v="18264"/>
    <n v="0"/>
    <n v="13"/>
    <x v="0"/>
    <n v="4"/>
    <n v="80"/>
    <n v="0"/>
    <n v="17"/>
    <n v="3"/>
    <n v="16"/>
    <n v="6"/>
    <n v="0"/>
    <n v="13"/>
  </r>
  <r>
    <s v="No"/>
    <s v="Travel_Rarely"/>
    <x v="4"/>
    <s v="Current Employees"/>
    <x v="1"/>
    <x v="0"/>
    <s v="STAFF-465"/>
    <n v="465"/>
    <x v="1"/>
    <x v="1"/>
    <x v="2"/>
    <s v="No"/>
    <s v="Y"/>
    <n v="2"/>
    <n v="-2"/>
    <n v="0"/>
    <n v="23"/>
    <n v="0"/>
    <m/>
    <n v="0"/>
    <n v="1"/>
    <n v="1309"/>
    <n v="26"/>
    <x v="1"/>
    <n v="1"/>
    <n v="3"/>
    <n v="83"/>
    <n v="3"/>
    <n v="1"/>
    <n v="2"/>
    <n v="2904"/>
    <n v="16092"/>
    <n v="1"/>
    <n v="12"/>
    <x v="0"/>
    <n v="3"/>
    <n v="80"/>
    <n v="2"/>
    <n v="4"/>
    <n v="2"/>
    <n v="4"/>
    <n v="2"/>
    <n v="0"/>
    <n v="2"/>
  </r>
  <r>
    <s v="No"/>
    <s v="Travel_Rarely"/>
    <x v="0"/>
    <s v="Current Employees"/>
    <x v="1"/>
    <x v="2"/>
    <s v="STAFF-466"/>
    <n v="466"/>
    <x v="1"/>
    <x v="3"/>
    <x v="0"/>
    <s v="Yes"/>
    <s v="Y"/>
    <n v="3"/>
    <n v="-2"/>
    <n v="0"/>
    <n v="41"/>
    <n v="0"/>
    <m/>
    <n v="0"/>
    <n v="1"/>
    <n v="483"/>
    <n v="6"/>
    <x v="3"/>
    <n v="1"/>
    <n v="4"/>
    <n v="95"/>
    <n v="2"/>
    <n v="2"/>
    <n v="3"/>
    <n v="6032"/>
    <n v="10110"/>
    <n v="6"/>
    <n v="15"/>
    <x v="0"/>
    <n v="4"/>
    <n v="80"/>
    <n v="0"/>
    <n v="8"/>
    <n v="3"/>
    <n v="5"/>
    <n v="4"/>
    <n v="1"/>
    <n v="2"/>
  </r>
  <r>
    <s v="No"/>
    <s v="Travel_Frequently"/>
    <x v="1"/>
    <s v="Current Employees"/>
    <x v="0"/>
    <x v="2"/>
    <s v="STAFF-467"/>
    <n v="467"/>
    <x v="1"/>
    <x v="6"/>
    <x v="0"/>
    <s v="No"/>
    <s v="Y"/>
    <n v="3"/>
    <n v="-2"/>
    <n v="0"/>
    <n v="47"/>
    <n v="0"/>
    <m/>
    <n v="0"/>
    <n v="1"/>
    <n v="1309"/>
    <n v="4"/>
    <x v="1"/>
    <n v="1"/>
    <n v="2"/>
    <n v="99"/>
    <n v="3"/>
    <n v="2"/>
    <n v="3"/>
    <n v="2976"/>
    <n v="25751"/>
    <n v="3"/>
    <n v="19"/>
    <x v="0"/>
    <n v="1"/>
    <n v="80"/>
    <n v="0"/>
    <n v="5"/>
    <n v="3"/>
    <n v="0"/>
    <n v="0"/>
    <n v="0"/>
    <n v="0"/>
  </r>
  <r>
    <s v="No"/>
    <s v="Travel_Rarely"/>
    <x v="0"/>
    <s v="Current Employees"/>
    <x v="1"/>
    <x v="0"/>
    <s v="STAFF-468"/>
    <n v="468"/>
    <x v="0"/>
    <x v="7"/>
    <x v="0"/>
    <s v="No"/>
    <s v="Y"/>
    <n v="2"/>
    <n v="-2"/>
    <n v="0"/>
    <n v="42"/>
    <n v="0"/>
    <m/>
    <n v="0"/>
    <n v="1"/>
    <n v="810"/>
    <n v="23"/>
    <x v="4"/>
    <n v="1"/>
    <n v="1"/>
    <n v="44"/>
    <n v="3"/>
    <n v="4"/>
    <n v="2"/>
    <n v="15992"/>
    <n v="15901"/>
    <n v="2"/>
    <n v="14"/>
    <x v="0"/>
    <n v="2"/>
    <n v="80"/>
    <n v="0"/>
    <n v="16"/>
    <n v="3"/>
    <n v="1"/>
    <n v="0"/>
    <n v="0"/>
    <n v="0"/>
  </r>
  <r>
    <s v="No"/>
    <s v="Non-Travel"/>
    <x v="2"/>
    <s v="Current Employees"/>
    <x v="0"/>
    <x v="0"/>
    <s v="STAFF-469"/>
    <n v="469"/>
    <x v="1"/>
    <x v="0"/>
    <x v="1"/>
    <s v="No"/>
    <s v="Y"/>
    <n v="3"/>
    <n v="-2"/>
    <n v="0"/>
    <n v="29"/>
    <n v="0"/>
    <m/>
    <n v="0"/>
    <n v="1"/>
    <n v="746"/>
    <n v="2"/>
    <x v="3"/>
    <n v="1"/>
    <n v="4"/>
    <n v="61"/>
    <n v="3"/>
    <n v="2"/>
    <n v="2"/>
    <n v="4649"/>
    <n v="16928"/>
    <n v="1"/>
    <n v="14"/>
    <x v="0"/>
    <n v="1"/>
    <n v="80"/>
    <n v="1"/>
    <n v="4"/>
    <n v="2"/>
    <n v="4"/>
    <n v="3"/>
    <n v="0"/>
    <n v="2"/>
  </r>
  <r>
    <s v="No"/>
    <s v="Travel_Rarely"/>
    <x v="0"/>
    <s v="Current Employees"/>
    <x v="2"/>
    <x v="4"/>
    <s v="STAFF-470"/>
    <n v="470"/>
    <x v="1"/>
    <x v="8"/>
    <x v="2"/>
    <s v="Yes"/>
    <s v="Y"/>
    <n v="5"/>
    <n v="-2"/>
    <n v="0"/>
    <n v="42"/>
    <n v="0"/>
    <m/>
    <n v="0"/>
    <n v="1"/>
    <n v="544"/>
    <n v="2"/>
    <x v="1"/>
    <n v="1"/>
    <n v="4"/>
    <n v="52"/>
    <n v="3"/>
    <n v="1"/>
    <n v="4"/>
    <n v="2696"/>
    <n v="24017"/>
    <n v="0"/>
    <n v="11"/>
    <x v="0"/>
    <n v="3"/>
    <n v="80"/>
    <n v="1"/>
    <n v="4"/>
    <n v="3"/>
    <n v="3"/>
    <n v="2"/>
    <n v="1"/>
    <n v="0"/>
  </r>
  <r>
    <s v="No"/>
    <s v="Travel_Rarely"/>
    <x v="2"/>
    <s v="Current Employees"/>
    <x v="1"/>
    <x v="2"/>
    <s v="STAFF-471"/>
    <n v="471"/>
    <x v="0"/>
    <x v="2"/>
    <x v="1"/>
    <s v="No"/>
    <s v="Y"/>
    <n v="4"/>
    <n v="-2"/>
    <n v="0"/>
    <n v="32"/>
    <n v="0"/>
    <m/>
    <n v="0"/>
    <n v="1"/>
    <n v="1062"/>
    <n v="2"/>
    <x v="3"/>
    <n v="1"/>
    <n v="3"/>
    <n v="75"/>
    <n v="3"/>
    <n v="1"/>
    <n v="3"/>
    <n v="2370"/>
    <n v="3956"/>
    <n v="1"/>
    <n v="13"/>
    <x v="0"/>
    <n v="3"/>
    <n v="80"/>
    <n v="1"/>
    <n v="8"/>
    <n v="3"/>
    <n v="8"/>
    <n v="0"/>
    <n v="0"/>
    <n v="7"/>
  </r>
  <r>
    <s v="No"/>
    <s v="Travel_Rarely"/>
    <x v="1"/>
    <s v="Current Employees"/>
    <x v="0"/>
    <x v="2"/>
    <s v="STAFF-473"/>
    <n v="473"/>
    <x v="0"/>
    <x v="5"/>
    <x v="1"/>
    <s v="No"/>
    <s v="Y"/>
    <n v="3"/>
    <n v="-2"/>
    <n v="0"/>
    <n v="48"/>
    <n v="0"/>
    <m/>
    <n v="0"/>
    <n v="1"/>
    <n v="530"/>
    <n v="29"/>
    <x v="1"/>
    <n v="1"/>
    <n v="1"/>
    <n v="91"/>
    <n v="3"/>
    <n v="3"/>
    <n v="3"/>
    <n v="12504"/>
    <n v="23978"/>
    <n v="3"/>
    <n v="21"/>
    <x v="1"/>
    <n v="2"/>
    <n v="80"/>
    <n v="1"/>
    <n v="15"/>
    <n v="1"/>
    <n v="0"/>
    <n v="0"/>
    <n v="0"/>
    <n v="0"/>
  </r>
  <r>
    <s v="No"/>
    <s v="Travel_Rarely"/>
    <x v="0"/>
    <s v="Current Employees"/>
    <x v="1"/>
    <x v="2"/>
    <s v="STAFF-474"/>
    <n v="474"/>
    <x v="1"/>
    <x v="1"/>
    <x v="2"/>
    <s v="Yes"/>
    <s v="Y"/>
    <n v="2"/>
    <n v="-2"/>
    <n v="0"/>
    <n v="37"/>
    <n v="0"/>
    <m/>
    <n v="0"/>
    <n v="1"/>
    <n v="1319"/>
    <n v="6"/>
    <x v="3"/>
    <n v="1"/>
    <n v="3"/>
    <n v="51"/>
    <n v="4"/>
    <n v="2"/>
    <n v="3"/>
    <n v="5974"/>
    <n v="17001"/>
    <n v="4"/>
    <n v="13"/>
    <x v="0"/>
    <n v="1"/>
    <n v="80"/>
    <n v="2"/>
    <n v="13"/>
    <n v="3"/>
    <n v="7"/>
    <n v="7"/>
    <n v="6"/>
    <n v="7"/>
  </r>
  <r>
    <s v="No"/>
    <s v="Non-Travel"/>
    <x v="2"/>
    <s v="Current Employees"/>
    <x v="0"/>
    <x v="4"/>
    <s v="STAFF-475"/>
    <n v="475"/>
    <x v="0"/>
    <x v="0"/>
    <x v="1"/>
    <s v="Yes"/>
    <s v="Y"/>
    <n v="2"/>
    <n v="-2"/>
    <n v="0"/>
    <n v="30"/>
    <n v="0"/>
    <m/>
    <n v="0"/>
    <n v="1"/>
    <n v="641"/>
    <n v="25"/>
    <x v="0"/>
    <n v="1"/>
    <n v="4"/>
    <n v="85"/>
    <n v="3"/>
    <n v="2"/>
    <n v="4"/>
    <n v="4736"/>
    <n v="6069"/>
    <n v="7"/>
    <n v="12"/>
    <x v="0"/>
    <n v="2"/>
    <n v="80"/>
    <n v="1"/>
    <n v="4"/>
    <n v="4"/>
    <n v="2"/>
    <n v="2"/>
    <n v="2"/>
    <n v="2"/>
  </r>
  <r>
    <s v="No"/>
    <s v="Travel_Rarely"/>
    <x v="2"/>
    <s v="Current Employees"/>
    <x v="0"/>
    <x v="0"/>
    <s v="STAFF-476"/>
    <n v="476"/>
    <x v="1"/>
    <x v="0"/>
    <x v="1"/>
    <s v="No"/>
    <s v="Y"/>
    <n v="3"/>
    <n v="-2"/>
    <n v="0"/>
    <n v="26"/>
    <n v="0"/>
    <m/>
    <n v="0"/>
    <n v="1"/>
    <n v="933"/>
    <n v="1"/>
    <x v="3"/>
    <n v="1"/>
    <n v="3"/>
    <n v="57"/>
    <n v="3"/>
    <n v="2"/>
    <n v="2"/>
    <n v="5296"/>
    <n v="20156"/>
    <n v="1"/>
    <n v="17"/>
    <x v="0"/>
    <n v="2"/>
    <n v="80"/>
    <n v="1"/>
    <n v="8"/>
    <n v="3"/>
    <n v="8"/>
    <n v="7"/>
    <n v="7"/>
    <n v="7"/>
  </r>
  <r>
    <s v="No"/>
    <s v="Travel_Rarely"/>
    <x v="0"/>
    <s v="Current Employees"/>
    <x v="1"/>
    <x v="1"/>
    <s v="STAFF-477"/>
    <n v="477"/>
    <x v="1"/>
    <x v="4"/>
    <x v="0"/>
    <s v="No"/>
    <s v="Y"/>
    <n v="6"/>
    <n v="-2"/>
    <n v="0"/>
    <n v="42"/>
    <n v="0"/>
    <m/>
    <n v="0"/>
    <n v="1"/>
    <n v="1332"/>
    <n v="2"/>
    <x v="2"/>
    <n v="1"/>
    <n v="1"/>
    <n v="98"/>
    <n v="2"/>
    <n v="2"/>
    <n v="4"/>
    <n v="6781"/>
    <n v="17078"/>
    <n v="3"/>
    <n v="23"/>
    <x v="1"/>
    <n v="2"/>
    <n v="80"/>
    <n v="0"/>
    <n v="14"/>
    <n v="3"/>
    <n v="1"/>
    <n v="0"/>
    <n v="0"/>
    <n v="0"/>
  </r>
  <r>
    <s v="Yes"/>
    <s v="Travel_Frequently"/>
    <x v="4"/>
    <s v="Ex-Employees"/>
    <x v="0"/>
    <x v="4"/>
    <s v="STAFF-478"/>
    <n v="478"/>
    <x v="0"/>
    <x v="6"/>
    <x v="0"/>
    <s v="Yes"/>
    <s v="Y"/>
    <n v="3"/>
    <n v="-2"/>
    <n v="0"/>
    <n v="21"/>
    <n v="1"/>
    <n v="1"/>
    <n v="1"/>
    <n v="0"/>
    <n v="756"/>
    <n v="1"/>
    <x v="1"/>
    <n v="1"/>
    <n v="4"/>
    <n v="99"/>
    <n v="2"/>
    <n v="1"/>
    <n v="4"/>
    <n v="2174"/>
    <n v="9150"/>
    <n v="1"/>
    <n v="11"/>
    <x v="0"/>
    <n v="3"/>
    <n v="80"/>
    <n v="0"/>
    <n v="3"/>
    <n v="3"/>
    <n v="3"/>
    <n v="2"/>
    <n v="1"/>
    <n v="2"/>
  </r>
  <r>
    <s v="No"/>
    <s v="Non-Travel"/>
    <x v="0"/>
    <s v="Current Employees"/>
    <x v="0"/>
    <x v="2"/>
    <s v="STAFF-479"/>
    <n v="479"/>
    <x v="0"/>
    <x v="0"/>
    <x v="0"/>
    <s v="No"/>
    <s v="Y"/>
    <n v="6"/>
    <n v="-2"/>
    <n v="0"/>
    <n v="36"/>
    <n v="0"/>
    <m/>
    <n v="0"/>
    <n v="1"/>
    <n v="845"/>
    <n v="1"/>
    <x v="4"/>
    <n v="1"/>
    <n v="4"/>
    <n v="45"/>
    <n v="3"/>
    <n v="2"/>
    <n v="4"/>
    <n v="6653"/>
    <n v="15276"/>
    <n v="4"/>
    <n v="15"/>
    <x v="0"/>
    <n v="2"/>
    <n v="80"/>
    <n v="0"/>
    <n v="7"/>
    <n v="3"/>
    <n v="1"/>
    <n v="0"/>
    <n v="0"/>
    <n v="0"/>
  </r>
  <r>
    <s v="No"/>
    <s v="Travel_Frequently"/>
    <x v="0"/>
    <s v="Current Employees"/>
    <x v="0"/>
    <x v="2"/>
    <s v="STAFF-481"/>
    <n v="481"/>
    <x v="1"/>
    <x v="0"/>
    <x v="1"/>
    <s v="No"/>
    <s v="Y"/>
    <n v="2"/>
    <n v="-2"/>
    <n v="0"/>
    <n v="36"/>
    <n v="0"/>
    <m/>
    <n v="0"/>
    <n v="1"/>
    <n v="541"/>
    <n v="3"/>
    <x v="2"/>
    <n v="1"/>
    <n v="1"/>
    <n v="48"/>
    <n v="2"/>
    <n v="3"/>
    <n v="4"/>
    <n v="9699"/>
    <n v="7246"/>
    <n v="4"/>
    <n v="11"/>
    <x v="0"/>
    <n v="1"/>
    <n v="80"/>
    <n v="1"/>
    <n v="16"/>
    <n v="3"/>
    <n v="13"/>
    <n v="9"/>
    <n v="1"/>
    <n v="12"/>
  </r>
  <r>
    <s v="No"/>
    <s v="Travel_Rarely"/>
    <x v="3"/>
    <s v="Current Employees"/>
    <x v="1"/>
    <x v="2"/>
    <s v="STAFF-482"/>
    <n v="482"/>
    <x v="1"/>
    <x v="4"/>
    <x v="1"/>
    <s v="No"/>
    <s v="Y"/>
    <n v="2"/>
    <n v="-2"/>
    <n v="0"/>
    <n v="57"/>
    <n v="0"/>
    <m/>
    <n v="0"/>
    <n v="1"/>
    <n v="593"/>
    <n v="1"/>
    <x v="2"/>
    <n v="1"/>
    <n v="4"/>
    <n v="88"/>
    <n v="3"/>
    <n v="2"/>
    <n v="3"/>
    <n v="6755"/>
    <n v="2967"/>
    <n v="2"/>
    <n v="11"/>
    <x v="0"/>
    <n v="3"/>
    <n v="80"/>
    <n v="0"/>
    <n v="15"/>
    <n v="3"/>
    <n v="3"/>
    <n v="2"/>
    <n v="1"/>
    <n v="2"/>
  </r>
  <r>
    <s v="No"/>
    <s v="Travel_Rarely"/>
    <x v="0"/>
    <s v="Current Employees"/>
    <x v="1"/>
    <x v="0"/>
    <s v="STAFF-483"/>
    <n v="483"/>
    <x v="0"/>
    <x v="2"/>
    <x v="1"/>
    <s v="Yes"/>
    <s v="Y"/>
    <n v="3"/>
    <n v="-2"/>
    <n v="0"/>
    <n v="40"/>
    <n v="0"/>
    <m/>
    <n v="0"/>
    <n v="1"/>
    <n v="1171"/>
    <n v="10"/>
    <x v="2"/>
    <n v="1"/>
    <n v="4"/>
    <n v="46"/>
    <n v="4"/>
    <n v="1"/>
    <n v="2"/>
    <n v="2213"/>
    <n v="22495"/>
    <n v="3"/>
    <n v="13"/>
    <x v="0"/>
    <n v="3"/>
    <n v="80"/>
    <n v="1"/>
    <n v="10"/>
    <n v="3"/>
    <n v="7"/>
    <n v="7"/>
    <n v="1"/>
    <n v="7"/>
  </r>
  <r>
    <s v="No"/>
    <s v="Non-Travel"/>
    <x v="4"/>
    <s v="Current Employees"/>
    <x v="0"/>
    <x v="2"/>
    <s v="STAFF-484"/>
    <n v="484"/>
    <x v="1"/>
    <x v="6"/>
    <x v="0"/>
    <s v="No"/>
    <s v="Y"/>
    <n v="3"/>
    <n v="-2"/>
    <n v="0"/>
    <n v="21"/>
    <n v="0"/>
    <m/>
    <n v="0"/>
    <n v="1"/>
    <n v="895"/>
    <n v="9"/>
    <x v="0"/>
    <n v="1"/>
    <n v="1"/>
    <n v="39"/>
    <n v="3"/>
    <n v="1"/>
    <n v="4"/>
    <n v="2610"/>
    <n v="2851"/>
    <n v="1"/>
    <n v="24"/>
    <x v="1"/>
    <n v="3"/>
    <n v="80"/>
    <n v="0"/>
    <n v="3"/>
    <n v="2"/>
    <n v="3"/>
    <n v="2"/>
    <n v="2"/>
    <n v="2"/>
  </r>
  <r>
    <s v="Yes"/>
    <s v="Travel_Rarely"/>
    <x v="2"/>
    <s v="Ex-Employees"/>
    <x v="0"/>
    <x v="3"/>
    <s v="STAFF-485"/>
    <n v="485"/>
    <x v="0"/>
    <x v="6"/>
    <x v="0"/>
    <s v="Yes"/>
    <s v="Y"/>
    <n v="2"/>
    <n v="-2"/>
    <n v="0"/>
    <n v="33"/>
    <n v="1"/>
    <n v="1"/>
    <n v="1"/>
    <n v="0"/>
    <n v="350"/>
    <n v="5"/>
    <x v="3"/>
    <n v="1"/>
    <n v="4"/>
    <n v="34"/>
    <n v="3"/>
    <n v="1"/>
    <n v="1"/>
    <n v="2851"/>
    <n v="9150"/>
    <n v="1"/>
    <n v="13"/>
    <x v="0"/>
    <n v="2"/>
    <n v="80"/>
    <n v="0"/>
    <n v="1"/>
    <n v="3"/>
    <n v="1"/>
    <n v="0"/>
    <n v="0"/>
    <n v="0"/>
  </r>
  <r>
    <s v="No"/>
    <s v="Travel_Rarely"/>
    <x v="0"/>
    <s v="Current Employees"/>
    <x v="1"/>
    <x v="2"/>
    <s v="STAFF-486"/>
    <n v="486"/>
    <x v="0"/>
    <x v="2"/>
    <x v="1"/>
    <s v="No"/>
    <s v="Y"/>
    <n v="3"/>
    <n v="-2"/>
    <n v="0"/>
    <n v="37"/>
    <n v="0"/>
    <m/>
    <n v="0"/>
    <n v="1"/>
    <n v="921"/>
    <n v="10"/>
    <x v="3"/>
    <n v="1"/>
    <n v="3"/>
    <n v="98"/>
    <n v="3"/>
    <n v="1"/>
    <n v="3"/>
    <n v="3452"/>
    <n v="17663"/>
    <n v="6"/>
    <n v="20"/>
    <x v="1"/>
    <n v="2"/>
    <n v="80"/>
    <n v="1"/>
    <n v="17"/>
    <n v="3"/>
    <n v="5"/>
    <n v="4"/>
    <n v="0"/>
    <n v="3"/>
  </r>
  <r>
    <s v="No"/>
    <s v="Non-Travel"/>
    <x v="1"/>
    <s v="Current Employees"/>
    <x v="1"/>
    <x v="2"/>
    <s v="STAFF-487"/>
    <n v="487"/>
    <x v="0"/>
    <x v="3"/>
    <x v="1"/>
    <s v="No"/>
    <s v="Y"/>
    <n v="2"/>
    <n v="-2"/>
    <n v="0"/>
    <n v="46"/>
    <n v="0"/>
    <m/>
    <n v="0"/>
    <n v="1"/>
    <n v="1144"/>
    <n v="7"/>
    <x v="2"/>
    <n v="1"/>
    <n v="3"/>
    <n v="30"/>
    <n v="3"/>
    <n v="2"/>
    <n v="3"/>
    <n v="5258"/>
    <n v="16044"/>
    <n v="2"/>
    <n v="14"/>
    <x v="0"/>
    <n v="3"/>
    <n v="80"/>
    <n v="0"/>
    <n v="7"/>
    <n v="4"/>
    <n v="1"/>
    <n v="0"/>
    <n v="0"/>
    <n v="0"/>
  </r>
  <r>
    <s v="Yes"/>
    <s v="Travel_Frequently"/>
    <x v="0"/>
    <s v="Ex-Employees"/>
    <x v="0"/>
    <x v="3"/>
    <s v="STAFF-488"/>
    <n v="488"/>
    <x v="1"/>
    <x v="0"/>
    <x v="0"/>
    <s v="No"/>
    <s v="Y"/>
    <n v="5"/>
    <n v="-2"/>
    <n v="0"/>
    <n v="41"/>
    <n v="1"/>
    <n v="1"/>
    <n v="1"/>
    <n v="0"/>
    <n v="143"/>
    <n v="4"/>
    <x v="3"/>
    <n v="1"/>
    <n v="1"/>
    <n v="56"/>
    <n v="3"/>
    <n v="2"/>
    <n v="1"/>
    <n v="9355"/>
    <n v="9558"/>
    <n v="1"/>
    <n v="18"/>
    <x v="0"/>
    <n v="3"/>
    <n v="80"/>
    <n v="0"/>
    <n v="8"/>
    <n v="3"/>
    <n v="8"/>
    <n v="7"/>
    <n v="7"/>
    <n v="7"/>
  </r>
  <r>
    <s v="No"/>
    <s v="Travel_Rarely"/>
    <x v="1"/>
    <s v="Current Employees"/>
    <x v="1"/>
    <x v="4"/>
    <s v="STAFF-491"/>
    <n v="491"/>
    <x v="1"/>
    <x v="4"/>
    <x v="0"/>
    <s v="No"/>
    <s v="Y"/>
    <n v="2"/>
    <n v="-2"/>
    <n v="0"/>
    <n v="50"/>
    <n v="0"/>
    <m/>
    <n v="0"/>
    <n v="1"/>
    <n v="1046"/>
    <n v="10"/>
    <x v="3"/>
    <n v="1"/>
    <n v="4"/>
    <n v="100"/>
    <n v="2"/>
    <n v="3"/>
    <n v="4"/>
    <n v="10496"/>
    <n v="2755"/>
    <n v="6"/>
    <n v="15"/>
    <x v="0"/>
    <n v="4"/>
    <n v="80"/>
    <n v="0"/>
    <n v="20"/>
    <n v="3"/>
    <n v="4"/>
    <n v="3"/>
    <n v="1"/>
    <n v="3"/>
  </r>
  <r>
    <s v="Yes"/>
    <s v="Travel_Rarely"/>
    <x v="0"/>
    <s v="Ex-Employees"/>
    <x v="0"/>
    <x v="3"/>
    <s v="STAFF-492"/>
    <n v="492"/>
    <x v="1"/>
    <x v="0"/>
    <x v="1"/>
    <s v="Yes"/>
    <s v="Y"/>
    <n v="6"/>
    <n v="-2"/>
    <n v="0"/>
    <n v="40"/>
    <n v="1"/>
    <n v="1"/>
    <n v="1"/>
    <n v="0"/>
    <n v="575"/>
    <n v="22"/>
    <x v="0"/>
    <n v="1"/>
    <n v="3"/>
    <n v="68"/>
    <n v="2"/>
    <n v="2"/>
    <n v="1"/>
    <n v="6380"/>
    <n v="6110"/>
    <n v="2"/>
    <n v="12"/>
    <x v="0"/>
    <n v="1"/>
    <n v="80"/>
    <n v="2"/>
    <n v="8"/>
    <n v="3"/>
    <n v="6"/>
    <n v="4"/>
    <n v="1"/>
    <n v="0"/>
  </r>
  <r>
    <s v="No"/>
    <s v="Travel_Rarely"/>
    <x v="2"/>
    <s v="Current Employees"/>
    <x v="1"/>
    <x v="0"/>
    <s v="STAFF-493"/>
    <n v="493"/>
    <x v="1"/>
    <x v="1"/>
    <x v="0"/>
    <s v="Yes"/>
    <s v="Y"/>
    <n v="5"/>
    <n v="-2"/>
    <n v="0"/>
    <n v="31"/>
    <n v="0"/>
    <m/>
    <n v="0"/>
    <n v="1"/>
    <n v="408"/>
    <n v="9"/>
    <x v="2"/>
    <n v="1"/>
    <n v="3"/>
    <n v="42"/>
    <n v="2"/>
    <n v="1"/>
    <n v="2"/>
    <n v="2657"/>
    <n v="7551"/>
    <n v="0"/>
    <n v="16"/>
    <x v="0"/>
    <n v="4"/>
    <n v="80"/>
    <n v="0"/>
    <n v="3"/>
    <n v="3"/>
    <n v="2"/>
    <n v="2"/>
    <n v="2"/>
    <n v="2"/>
  </r>
  <r>
    <s v="Yes"/>
    <s v="Travel_Rarely"/>
    <x v="4"/>
    <s v="Ex-Employees"/>
    <x v="0"/>
    <x v="0"/>
    <s v="STAFF-494"/>
    <n v="494"/>
    <x v="0"/>
    <x v="6"/>
    <x v="0"/>
    <s v="No"/>
    <s v="Y"/>
    <n v="0"/>
    <n v="-2"/>
    <n v="0"/>
    <n v="21"/>
    <n v="1"/>
    <n v="1"/>
    <n v="1"/>
    <n v="0"/>
    <n v="156"/>
    <n v="12"/>
    <x v="3"/>
    <n v="1"/>
    <n v="3"/>
    <n v="90"/>
    <n v="4"/>
    <n v="1"/>
    <n v="2"/>
    <n v="2716"/>
    <n v="25422"/>
    <n v="1"/>
    <n v="15"/>
    <x v="0"/>
    <n v="4"/>
    <n v="80"/>
    <n v="0"/>
    <n v="1"/>
    <n v="3"/>
    <n v="1"/>
    <n v="0"/>
    <n v="0"/>
    <n v="0"/>
  </r>
  <r>
    <s v="No"/>
    <s v="Travel_Rarely"/>
    <x v="2"/>
    <s v="Current Employees"/>
    <x v="1"/>
    <x v="0"/>
    <s v="STAFF-495"/>
    <n v="495"/>
    <x v="1"/>
    <x v="1"/>
    <x v="0"/>
    <s v="No"/>
    <s v="Y"/>
    <n v="4"/>
    <n v="-2"/>
    <n v="0"/>
    <n v="29"/>
    <n v="0"/>
    <m/>
    <n v="0"/>
    <n v="1"/>
    <n v="1283"/>
    <n v="23"/>
    <x v="3"/>
    <n v="1"/>
    <n v="4"/>
    <n v="54"/>
    <n v="3"/>
    <n v="1"/>
    <n v="2"/>
    <n v="2201"/>
    <n v="18168"/>
    <n v="9"/>
    <n v="16"/>
    <x v="0"/>
    <n v="4"/>
    <n v="80"/>
    <n v="0"/>
    <n v="6"/>
    <n v="3"/>
    <n v="3"/>
    <n v="2"/>
    <n v="1"/>
    <n v="2"/>
  </r>
  <r>
    <s v="No"/>
    <s v="Travel_Rarely"/>
    <x v="0"/>
    <s v="Current Employees"/>
    <x v="1"/>
    <x v="0"/>
    <s v="STAFF-496"/>
    <n v="496"/>
    <x v="1"/>
    <x v="4"/>
    <x v="0"/>
    <s v="No"/>
    <s v="Y"/>
    <n v="5"/>
    <n v="-2"/>
    <n v="0"/>
    <n v="35"/>
    <n v="0"/>
    <m/>
    <n v="0"/>
    <n v="1"/>
    <n v="755"/>
    <n v="9"/>
    <x v="2"/>
    <n v="1"/>
    <n v="3"/>
    <n v="97"/>
    <n v="2"/>
    <n v="2"/>
    <n v="2"/>
    <n v="6540"/>
    <n v="19394"/>
    <n v="9"/>
    <n v="19"/>
    <x v="0"/>
    <n v="3"/>
    <n v="80"/>
    <n v="0"/>
    <n v="10"/>
    <n v="3"/>
    <n v="1"/>
    <n v="1"/>
    <n v="0"/>
    <n v="0"/>
  </r>
  <r>
    <s v="No"/>
    <s v="Travel_Rarely"/>
    <x v="2"/>
    <s v="Current Employees"/>
    <x v="1"/>
    <x v="2"/>
    <s v="STAFF-497"/>
    <n v="497"/>
    <x v="1"/>
    <x v="2"/>
    <x v="2"/>
    <s v="No"/>
    <s v="Y"/>
    <n v="2"/>
    <n v="-2"/>
    <n v="0"/>
    <n v="27"/>
    <n v="0"/>
    <m/>
    <n v="0"/>
    <n v="1"/>
    <n v="1469"/>
    <n v="1"/>
    <x v="0"/>
    <n v="1"/>
    <n v="4"/>
    <n v="82"/>
    <n v="3"/>
    <n v="1"/>
    <n v="3"/>
    <n v="3816"/>
    <n v="17881"/>
    <n v="1"/>
    <n v="11"/>
    <x v="0"/>
    <n v="2"/>
    <n v="80"/>
    <n v="1"/>
    <n v="5"/>
    <n v="3"/>
    <n v="5"/>
    <n v="2"/>
    <n v="0"/>
    <n v="4"/>
  </r>
  <r>
    <s v="No"/>
    <s v="Travel_Rarely"/>
    <x v="2"/>
    <s v="Current Employees"/>
    <x v="0"/>
    <x v="0"/>
    <s v="STAFF-498"/>
    <n v="498"/>
    <x v="1"/>
    <x v="0"/>
    <x v="0"/>
    <s v="No"/>
    <s v="Y"/>
    <n v="1"/>
    <n v="-2"/>
    <n v="0"/>
    <n v="28"/>
    <n v="0"/>
    <m/>
    <n v="0"/>
    <n v="1"/>
    <n v="304"/>
    <n v="9"/>
    <x v="2"/>
    <n v="1"/>
    <n v="2"/>
    <n v="92"/>
    <n v="3"/>
    <n v="2"/>
    <n v="2"/>
    <n v="5253"/>
    <n v="20750"/>
    <n v="1"/>
    <n v="16"/>
    <x v="0"/>
    <n v="4"/>
    <n v="80"/>
    <n v="0"/>
    <n v="7"/>
    <n v="3"/>
    <n v="7"/>
    <n v="5"/>
    <n v="0"/>
    <n v="7"/>
  </r>
  <r>
    <s v="No"/>
    <s v="Travel_Rarely"/>
    <x v="1"/>
    <s v="Current Employees"/>
    <x v="1"/>
    <x v="1"/>
    <s v="STAFF-499"/>
    <n v="499"/>
    <x v="1"/>
    <x v="4"/>
    <x v="0"/>
    <s v="No"/>
    <s v="Y"/>
    <n v="2"/>
    <n v="-2"/>
    <n v="0"/>
    <n v="49"/>
    <n v="0"/>
    <m/>
    <n v="0"/>
    <n v="1"/>
    <n v="1261"/>
    <n v="7"/>
    <x v="3"/>
    <n v="1"/>
    <n v="2"/>
    <n v="31"/>
    <n v="2"/>
    <n v="3"/>
    <n v="3"/>
    <n v="10965"/>
    <n v="12066"/>
    <n v="8"/>
    <n v="24"/>
    <x v="1"/>
    <n v="3"/>
    <n v="80"/>
    <n v="0"/>
    <n v="26"/>
    <n v="3"/>
    <n v="5"/>
    <n v="2"/>
    <n v="0"/>
    <n v="0"/>
  </r>
  <r>
    <s v="No"/>
    <s v="Travel_Rarely"/>
    <x v="1"/>
    <s v="Current Employees"/>
    <x v="0"/>
    <x v="0"/>
    <s v="STAFF-500"/>
    <n v="500"/>
    <x v="0"/>
    <x v="0"/>
    <x v="1"/>
    <s v="No"/>
    <s v="Y"/>
    <n v="2"/>
    <n v="-2"/>
    <n v="0"/>
    <n v="51"/>
    <n v="0"/>
    <m/>
    <n v="0"/>
    <n v="1"/>
    <n v="1178"/>
    <n v="14"/>
    <x v="0"/>
    <n v="1"/>
    <n v="3"/>
    <n v="87"/>
    <n v="3"/>
    <n v="2"/>
    <n v="2"/>
    <n v="4936"/>
    <n v="14862"/>
    <n v="4"/>
    <n v="11"/>
    <x v="0"/>
    <n v="3"/>
    <n v="80"/>
    <n v="1"/>
    <n v="18"/>
    <n v="2"/>
    <n v="7"/>
    <n v="7"/>
    <n v="0"/>
    <n v="7"/>
  </r>
  <r>
    <s v="No"/>
    <s v="Travel_Rarely"/>
    <x v="0"/>
    <s v="Current Employees"/>
    <x v="1"/>
    <x v="0"/>
    <s v="STAFF-501"/>
    <n v="501"/>
    <x v="0"/>
    <x v="1"/>
    <x v="1"/>
    <s v="No"/>
    <s v="Y"/>
    <n v="3"/>
    <n v="-2"/>
    <n v="0"/>
    <n v="36"/>
    <n v="0"/>
    <m/>
    <n v="0"/>
    <n v="1"/>
    <n v="329"/>
    <n v="2"/>
    <x v="3"/>
    <n v="1"/>
    <n v="4"/>
    <n v="96"/>
    <n v="3"/>
    <n v="1"/>
    <n v="2"/>
    <n v="2543"/>
    <n v="11868"/>
    <n v="4"/>
    <n v="13"/>
    <x v="0"/>
    <n v="2"/>
    <n v="80"/>
    <n v="1"/>
    <n v="6"/>
    <n v="3"/>
    <n v="2"/>
    <n v="2"/>
    <n v="2"/>
    <n v="2"/>
  </r>
  <r>
    <s v="Yes"/>
    <s v="Non-Travel"/>
    <x v="2"/>
    <s v="Ex-Employees"/>
    <x v="0"/>
    <x v="3"/>
    <s v="STAFF-502"/>
    <n v="502"/>
    <x v="1"/>
    <x v="0"/>
    <x v="0"/>
    <s v="Yes"/>
    <s v="Y"/>
    <n v="3"/>
    <n v="-2"/>
    <n v="0"/>
    <n v="34"/>
    <n v="1"/>
    <n v="1"/>
    <n v="1"/>
    <n v="0"/>
    <n v="1362"/>
    <n v="19"/>
    <x v="3"/>
    <n v="1"/>
    <n v="1"/>
    <n v="67"/>
    <n v="4"/>
    <n v="2"/>
    <n v="1"/>
    <n v="5304"/>
    <n v="4652"/>
    <n v="8"/>
    <n v="13"/>
    <x v="0"/>
    <n v="2"/>
    <n v="80"/>
    <n v="0"/>
    <n v="9"/>
    <n v="2"/>
    <n v="5"/>
    <n v="2"/>
    <n v="0"/>
    <n v="4"/>
  </r>
  <r>
    <s v="No"/>
    <s v="Travel_Rarely"/>
    <x v="3"/>
    <s v="Current Employees"/>
    <x v="1"/>
    <x v="0"/>
    <s v="STAFF-505"/>
    <n v="505"/>
    <x v="0"/>
    <x v="5"/>
    <x v="0"/>
    <s v="Yes"/>
    <s v="Y"/>
    <n v="2"/>
    <n v="-2"/>
    <n v="0"/>
    <n v="55"/>
    <n v="0"/>
    <m/>
    <n v="0"/>
    <n v="1"/>
    <n v="1311"/>
    <n v="2"/>
    <x v="3"/>
    <n v="1"/>
    <n v="3"/>
    <n v="97"/>
    <n v="3"/>
    <n v="4"/>
    <n v="2"/>
    <n v="16659"/>
    <n v="23258"/>
    <n v="2"/>
    <n v="13"/>
    <x v="0"/>
    <n v="3"/>
    <n v="80"/>
    <n v="0"/>
    <n v="30"/>
    <n v="3"/>
    <n v="5"/>
    <n v="4"/>
    <n v="1"/>
    <n v="2"/>
  </r>
  <r>
    <s v="No"/>
    <s v="Travel_Rarely"/>
    <x v="4"/>
    <s v="Current Employees"/>
    <x v="0"/>
    <x v="3"/>
    <s v="STAFF-507"/>
    <n v="507"/>
    <x v="0"/>
    <x v="0"/>
    <x v="2"/>
    <s v="Yes"/>
    <s v="Y"/>
    <n v="2"/>
    <n v="-2"/>
    <n v="0"/>
    <n v="24"/>
    <n v="0"/>
    <m/>
    <n v="0"/>
    <n v="1"/>
    <n v="1371"/>
    <n v="10"/>
    <x v="2"/>
    <n v="1"/>
    <n v="4"/>
    <n v="77"/>
    <n v="3"/>
    <n v="2"/>
    <n v="1"/>
    <n v="4260"/>
    <n v="5915"/>
    <n v="1"/>
    <n v="12"/>
    <x v="0"/>
    <n v="4"/>
    <n v="80"/>
    <n v="1"/>
    <n v="5"/>
    <n v="4"/>
    <n v="5"/>
    <n v="2"/>
    <n v="0"/>
    <n v="3"/>
  </r>
  <r>
    <s v="No"/>
    <s v="Travel_Rarely"/>
    <x v="2"/>
    <s v="Current Employees"/>
    <x v="0"/>
    <x v="4"/>
    <s v="STAFF-508"/>
    <n v="508"/>
    <x v="1"/>
    <x v="6"/>
    <x v="1"/>
    <s v="No"/>
    <s v="Y"/>
    <n v="3"/>
    <n v="-2"/>
    <n v="0"/>
    <n v="30"/>
    <n v="0"/>
    <m/>
    <n v="0"/>
    <n v="1"/>
    <n v="202"/>
    <n v="2"/>
    <x v="1"/>
    <n v="1"/>
    <n v="4"/>
    <n v="72"/>
    <n v="3"/>
    <n v="1"/>
    <n v="4"/>
    <n v="2476"/>
    <n v="17434"/>
    <n v="1"/>
    <n v="18"/>
    <x v="0"/>
    <n v="1"/>
    <n v="80"/>
    <n v="1"/>
    <n v="1"/>
    <n v="3"/>
    <n v="1"/>
    <n v="0"/>
    <n v="0"/>
    <n v="0"/>
  </r>
  <r>
    <s v="Yes"/>
    <s v="Travel_Frequently"/>
    <x v="2"/>
    <s v="Ex-Employees"/>
    <x v="1"/>
    <x v="4"/>
    <s v="STAFF-510"/>
    <n v="510"/>
    <x v="1"/>
    <x v="1"/>
    <x v="0"/>
    <s v="No"/>
    <s v="Y"/>
    <n v="2"/>
    <n v="-2"/>
    <n v="0"/>
    <n v="26"/>
    <n v="1"/>
    <n v="1"/>
    <n v="1"/>
    <n v="0"/>
    <n v="575"/>
    <n v="3"/>
    <x v="1"/>
    <n v="1"/>
    <n v="4"/>
    <n v="73"/>
    <n v="3"/>
    <n v="1"/>
    <n v="4"/>
    <n v="3102"/>
    <n v="6582"/>
    <n v="0"/>
    <n v="22"/>
    <x v="1"/>
    <n v="3"/>
    <n v="80"/>
    <n v="0"/>
    <n v="7"/>
    <n v="3"/>
    <n v="6"/>
    <n v="4"/>
    <n v="0"/>
    <n v="4"/>
  </r>
  <r>
    <s v="No"/>
    <s v="Travel_Rarely"/>
    <x v="4"/>
    <s v="Current Employees"/>
    <x v="1"/>
    <x v="2"/>
    <s v="STAFF-511"/>
    <n v="511"/>
    <x v="0"/>
    <x v="1"/>
    <x v="1"/>
    <s v="No"/>
    <s v="Y"/>
    <n v="1"/>
    <n v="-2"/>
    <n v="0"/>
    <n v="22"/>
    <n v="0"/>
    <m/>
    <n v="0"/>
    <n v="1"/>
    <n v="253"/>
    <n v="11"/>
    <x v="3"/>
    <n v="1"/>
    <n v="1"/>
    <n v="43"/>
    <n v="3"/>
    <n v="1"/>
    <n v="3"/>
    <n v="2244"/>
    <n v="24440"/>
    <n v="1"/>
    <n v="13"/>
    <x v="0"/>
    <n v="4"/>
    <n v="80"/>
    <n v="1"/>
    <n v="2"/>
    <n v="3"/>
    <n v="2"/>
    <n v="1"/>
    <n v="1"/>
    <n v="2"/>
  </r>
  <r>
    <s v="No"/>
    <s v="Travel_Rarely"/>
    <x v="0"/>
    <s v="Current Employees"/>
    <x v="0"/>
    <x v="2"/>
    <s v="STAFF-513"/>
    <n v="513"/>
    <x v="1"/>
    <x v="0"/>
    <x v="1"/>
    <s v="No"/>
    <s v="Y"/>
    <n v="2"/>
    <n v="-2"/>
    <n v="0"/>
    <n v="36"/>
    <n v="0"/>
    <m/>
    <n v="0"/>
    <n v="1"/>
    <n v="164"/>
    <n v="2"/>
    <x v="0"/>
    <n v="1"/>
    <n v="2"/>
    <n v="61"/>
    <n v="2"/>
    <n v="3"/>
    <n v="3"/>
    <n v="7596"/>
    <n v="3809"/>
    <n v="1"/>
    <n v="13"/>
    <x v="0"/>
    <n v="2"/>
    <n v="80"/>
    <n v="2"/>
    <n v="10"/>
    <n v="3"/>
    <n v="10"/>
    <n v="9"/>
    <n v="9"/>
    <n v="0"/>
  </r>
  <r>
    <s v="Yes"/>
    <s v="Travel_Frequently"/>
    <x v="2"/>
    <s v="Ex-Employees"/>
    <x v="1"/>
    <x v="4"/>
    <s v="STAFF-514"/>
    <n v="514"/>
    <x v="1"/>
    <x v="1"/>
    <x v="0"/>
    <s v="Yes"/>
    <s v="Y"/>
    <n v="4"/>
    <n v="-2"/>
    <n v="0"/>
    <n v="30"/>
    <n v="1"/>
    <n v="1"/>
    <n v="1"/>
    <n v="0"/>
    <n v="464"/>
    <n v="4"/>
    <x v="3"/>
    <n v="1"/>
    <n v="4"/>
    <n v="40"/>
    <n v="3"/>
    <n v="1"/>
    <n v="4"/>
    <n v="2285"/>
    <n v="3427"/>
    <n v="9"/>
    <n v="23"/>
    <x v="1"/>
    <n v="3"/>
    <n v="80"/>
    <n v="0"/>
    <n v="3"/>
    <n v="3"/>
    <n v="1"/>
    <n v="0"/>
    <n v="0"/>
    <n v="0"/>
  </r>
  <r>
    <s v="No"/>
    <s v="Travel_Rarely"/>
    <x v="0"/>
    <s v="Current Employees"/>
    <x v="1"/>
    <x v="0"/>
    <s v="STAFF-515"/>
    <n v="515"/>
    <x v="0"/>
    <x v="2"/>
    <x v="2"/>
    <s v="No"/>
    <s v="Y"/>
    <n v="2"/>
    <n v="-2"/>
    <n v="0"/>
    <n v="37"/>
    <n v="0"/>
    <m/>
    <n v="0"/>
    <n v="1"/>
    <n v="1107"/>
    <n v="14"/>
    <x v="3"/>
    <n v="1"/>
    <n v="4"/>
    <n v="95"/>
    <n v="3"/>
    <n v="1"/>
    <n v="2"/>
    <n v="3034"/>
    <n v="26914"/>
    <n v="1"/>
    <n v="12"/>
    <x v="0"/>
    <n v="3"/>
    <n v="80"/>
    <n v="1"/>
    <n v="18"/>
    <n v="2"/>
    <n v="18"/>
    <n v="7"/>
    <n v="12"/>
    <n v="17"/>
  </r>
  <r>
    <s v="No"/>
    <s v="Travel_Rarely"/>
    <x v="0"/>
    <s v="Current Employees"/>
    <x v="0"/>
    <x v="3"/>
    <s v="STAFF-516"/>
    <n v="516"/>
    <x v="0"/>
    <x v="0"/>
    <x v="2"/>
    <s v="No"/>
    <s v="Y"/>
    <n v="5"/>
    <n v="-2"/>
    <n v="0"/>
    <n v="40"/>
    <n v="0"/>
    <m/>
    <n v="0"/>
    <n v="1"/>
    <n v="759"/>
    <n v="2"/>
    <x v="0"/>
    <n v="1"/>
    <n v="4"/>
    <n v="46"/>
    <n v="3"/>
    <n v="2"/>
    <n v="1"/>
    <n v="5715"/>
    <n v="22553"/>
    <n v="7"/>
    <n v="12"/>
    <x v="0"/>
    <n v="3"/>
    <n v="80"/>
    <n v="2"/>
    <n v="8"/>
    <n v="3"/>
    <n v="5"/>
    <n v="4"/>
    <n v="1"/>
    <n v="3"/>
  </r>
  <r>
    <s v="No"/>
    <s v="Travel_Rarely"/>
    <x v="0"/>
    <s v="Current Employees"/>
    <x v="1"/>
    <x v="0"/>
    <s v="STAFF-517"/>
    <n v="517"/>
    <x v="0"/>
    <x v="2"/>
    <x v="2"/>
    <s v="No"/>
    <s v="Y"/>
    <n v="5"/>
    <n v="-2"/>
    <n v="0"/>
    <n v="42"/>
    <n v="0"/>
    <m/>
    <n v="0"/>
    <n v="1"/>
    <n v="201"/>
    <n v="1"/>
    <x v="2"/>
    <n v="1"/>
    <n v="2"/>
    <n v="95"/>
    <n v="3"/>
    <n v="1"/>
    <n v="2"/>
    <n v="2576"/>
    <n v="20490"/>
    <n v="3"/>
    <n v="16"/>
    <x v="0"/>
    <n v="2"/>
    <n v="80"/>
    <n v="1"/>
    <n v="8"/>
    <n v="3"/>
    <n v="5"/>
    <n v="2"/>
    <n v="1"/>
    <n v="2"/>
  </r>
  <r>
    <s v="No"/>
    <s v="Travel_Rarely"/>
    <x v="0"/>
    <s v="Current Employees"/>
    <x v="1"/>
    <x v="0"/>
    <s v="STAFF-518"/>
    <n v="518"/>
    <x v="1"/>
    <x v="3"/>
    <x v="0"/>
    <s v="Yes"/>
    <s v="Y"/>
    <n v="2"/>
    <n v="-2"/>
    <n v="0"/>
    <n v="37"/>
    <n v="0"/>
    <m/>
    <n v="0"/>
    <n v="1"/>
    <n v="1305"/>
    <n v="10"/>
    <x v="2"/>
    <n v="1"/>
    <n v="3"/>
    <n v="49"/>
    <n v="3"/>
    <n v="2"/>
    <n v="2"/>
    <n v="4197"/>
    <n v="21123"/>
    <n v="2"/>
    <n v="12"/>
    <x v="0"/>
    <n v="4"/>
    <n v="80"/>
    <n v="0"/>
    <n v="18"/>
    <n v="2"/>
    <n v="1"/>
    <n v="0"/>
    <n v="0"/>
    <n v="1"/>
  </r>
  <r>
    <s v="No"/>
    <s v="Travel_Rarely"/>
    <x v="0"/>
    <s v="Current Employees"/>
    <x v="1"/>
    <x v="0"/>
    <s v="STAFF-520"/>
    <n v="520"/>
    <x v="1"/>
    <x v="7"/>
    <x v="2"/>
    <s v="No"/>
    <s v="Y"/>
    <n v="3"/>
    <n v="-2"/>
    <n v="0"/>
    <n v="43"/>
    <n v="0"/>
    <m/>
    <n v="0"/>
    <n v="1"/>
    <n v="982"/>
    <n v="12"/>
    <x v="3"/>
    <n v="1"/>
    <n v="1"/>
    <n v="59"/>
    <n v="2"/>
    <n v="4"/>
    <n v="2"/>
    <n v="14336"/>
    <n v="4345"/>
    <n v="1"/>
    <n v="11"/>
    <x v="0"/>
    <n v="3"/>
    <n v="80"/>
    <n v="1"/>
    <n v="25"/>
    <n v="3"/>
    <n v="25"/>
    <n v="10"/>
    <n v="3"/>
    <n v="9"/>
  </r>
  <r>
    <s v="No"/>
    <s v="Travel_Rarely"/>
    <x v="0"/>
    <s v="Current Employees"/>
    <x v="1"/>
    <x v="2"/>
    <s v="STAFF-521"/>
    <n v="521"/>
    <x v="0"/>
    <x v="2"/>
    <x v="1"/>
    <s v="No"/>
    <s v="Y"/>
    <n v="3"/>
    <n v="-2"/>
    <n v="0"/>
    <n v="40"/>
    <n v="0"/>
    <m/>
    <n v="0"/>
    <n v="1"/>
    <n v="555"/>
    <n v="2"/>
    <x v="3"/>
    <n v="1"/>
    <n v="2"/>
    <n v="78"/>
    <n v="2"/>
    <n v="2"/>
    <n v="3"/>
    <n v="3448"/>
    <n v="13436"/>
    <n v="6"/>
    <n v="22"/>
    <x v="1"/>
    <n v="2"/>
    <n v="80"/>
    <n v="1"/>
    <n v="20"/>
    <n v="3"/>
    <n v="1"/>
    <n v="0"/>
    <n v="0"/>
    <n v="0"/>
  </r>
  <r>
    <s v="No"/>
    <s v="Travel_Rarely"/>
    <x v="1"/>
    <s v="Current Employees"/>
    <x v="1"/>
    <x v="2"/>
    <s v="STAFF-522"/>
    <n v="522"/>
    <x v="1"/>
    <x v="7"/>
    <x v="1"/>
    <s v="No"/>
    <s v="Y"/>
    <n v="4"/>
    <n v="-2"/>
    <n v="0"/>
    <n v="54"/>
    <n v="0"/>
    <m/>
    <n v="0"/>
    <n v="1"/>
    <n v="821"/>
    <n v="5"/>
    <x v="0"/>
    <n v="1"/>
    <n v="1"/>
    <n v="86"/>
    <n v="3"/>
    <n v="5"/>
    <n v="3"/>
    <n v="19406"/>
    <n v="8509"/>
    <n v="4"/>
    <n v="11"/>
    <x v="0"/>
    <n v="3"/>
    <n v="80"/>
    <n v="1"/>
    <n v="24"/>
    <n v="2"/>
    <n v="4"/>
    <n v="2"/>
    <n v="1"/>
    <n v="2"/>
  </r>
  <r>
    <s v="No"/>
    <s v="Non-Travel"/>
    <x v="2"/>
    <s v="Current Employees"/>
    <x v="0"/>
    <x v="3"/>
    <s v="STAFF-523"/>
    <n v="523"/>
    <x v="0"/>
    <x v="0"/>
    <x v="1"/>
    <s v="No"/>
    <s v="Y"/>
    <n v="3"/>
    <n v="-2"/>
    <n v="0"/>
    <n v="34"/>
    <n v="0"/>
    <m/>
    <n v="0"/>
    <n v="1"/>
    <n v="1381"/>
    <n v="4"/>
    <x v="2"/>
    <n v="1"/>
    <n v="3"/>
    <n v="72"/>
    <n v="3"/>
    <n v="2"/>
    <n v="1"/>
    <n v="6538"/>
    <n v="12740"/>
    <n v="9"/>
    <n v="15"/>
    <x v="0"/>
    <n v="1"/>
    <n v="80"/>
    <n v="1"/>
    <n v="6"/>
    <n v="3"/>
    <n v="3"/>
    <n v="2"/>
    <n v="1"/>
    <n v="2"/>
  </r>
  <r>
    <s v="No"/>
    <s v="Travel_Rarely"/>
    <x v="2"/>
    <s v="Current Employees"/>
    <x v="1"/>
    <x v="2"/>
    <s v="STAFF-524"/>
    <n v="524"/>
    <x v="0"/>
    <x v="3"/>
    <x v="1"/>
    <s v="No"/>
    <s v="Y"/>
    <n v="5"/>
    <n v="-2"/>
    <n v="0"/>
    <n v="31"/>
    <n v="0"/>
    <m/>
    <n v="0"/>
    <n v="1"/>
    <n v="480"/>
    <n v="7"/>
    <x v="0"/>
    <n v="1"/>
    <n v="2"/>
    <n v="31"/>
    <n v="3"/>
    <n v="2"/>
    <n v="3"/>
    <n v="4306"/>
    <n v="4156"/>
    <n v="1"/>
    <n v="12"/>
    <x v="0"/>
    <n v="2"/>
    <n v="80"/>
    <n v="1"/>
    <n v="13"/>
    <n v="1"/>
    <n v="13"/>
    <n v="10"/>
    <n v="3"/>
    <n v="12"/>
  </r>
  <r>
    <s v="No"/>
    <s v="Travel_Frequently"/>
    <x v="0"/>
    <s v="Current Employees"/>
    <x v="1"/>
    <x v="2"/>
    <s v="STAFF-525"/>
    <n v="525"/>
    <x v="1"/>
    <x v="2"/>
    <x v="1"/>
    <s v="No"/>
    <s v="Y"/>
    <n v="1"/>
    <n v="-2"/>
    <n v="0"/>
    <n v="43"/>
    <n v="0"/>
    <m/>
    <n v="0"/>
    <n v="1"/>
    <n v="313"/>
    <n v="21"/>
    <x v="3"/>
    <n v="1"/>
    <n v="4"/>
    <n v="61"/>
    <n v="3"/>
    <n v="1"/>
    <n v="4"/>
    <n v="2258"/>
    <n v="15238"/>
    <n v="7"/>
    <n v="20"/>
    <x v="1"/>
    <n v="1"/>
    <n v="80"/>
    <n v="1"/>
    <n v="8"/>
    <n v="3"/>
    <n v="3"/>
    <n v="2"/>
    <n v="1"/>
    <n v="2"/>
  </r>
  <r>
    <s v="No"/>
    <s v="Travel_Rarely"/>
    <x v="0"/>
    <s v="Current Employees"/>
    <x v="1"/>
    <x v="1"/>
    <s v="STAFF-526"/>
    <n v="526"/>
    <x v="0"/>
    <x v="4"/>
    <x v="2"/>
    <s v="Yes"/>
    <s v="Y"/>
    <n v="3"/>
    <n v="-2"/>
    <n v="0"/>
    <n v="43"/>
    <n v="0"/>
    <m/>
    <n v="0"/>
    <n v="1"/>
    <n v="1473"/>
    <n v="8"/>
    <x v="2"/>
    <n v="1"/>
    <n v="3"/>
    <n v="74"/>
    <n v="3"/>
    <n v="2"/>
    <n v="3"/>
    <n v="4522"/>
    <n v="2227"/>
    <n v="4"/>
    <n v="14"/>
    <x v="0"/>
    <n v="4"/>
    <n v="80"/>
    <n v="0"/>
    <n v="8"/>
    <n v="3"/>
    <n v="5"/>
    <n v="2"/>
    <n v="0"/>
    <n v="2"/>
  </r>
  <r>
    <s v="No"/>
    <s v="Travel_Rarely"/>
    <x v="2"/>
    <s v="Current Employees"/>
    <x v="0"/>
    <x v="0"/>
    <s v="STAFF-527"/>
    <n v="527"/>
    <x v="0"/>
    <x v="0"/>
    <x v="0"/>
    <s v="Yes"/>
    <s v="Y"/>
    <n v="3"/>
    <n v="-2"/>
    <n v="0"/>
    <n v="25"/>
    <n v="0"/>
    <m/>
    <n v="0"/>
    <n v="1"/>
    <n v="891"/>
    <n v="4"/>
    <x v="0"/>
    <n v="1"/>
    <n v="2"/>
    <n v="99"/>
    <n v="2"/>
    <n v="2"/>
    <n v="2"/>
    <n v="4487"/>
    <n v="12090"/>
    <n v="1"/>
    <n v="11"/>
    <x v="0"/>
    <n v="2"/>
    <n v="80"/>
    <n v="0"/>
    <n v="5"/>
    <n v="3"/>
    <n v="5"/>
    <n v="4"/>
    <n v="1"/>
    <n v="3"/>
  </r>
  <r>
    <s v="No"/>
    <s v="Non-Travel"/>
    <x v="0"/>
    <s v="Current Employees"/>
    <x v="1"/>
    <x v="2"/>
    <s v="STAFF-529"/>
    <n v="529"/>
    <x v="0"/>
    <x v="1"/>
    <x v="1"/>
    <s v="Yes"/>
    <s v="Y"/>
    <n v="2"/>
    <n v="-2"/>
    <n v="0"/>
    <n v="37"/>
    <n v="0"/>
    <m/>
    <n v="0"/>
    <n v="1"/>
    <n v="1063"/>
    <n v="25"/>
    <x v="4"/>
    <n v="1"/>
    <n v="2"/>
    <n v="72"/>
    <n v="3"/>
    <n v="2"/>
    <n v="3"/>
    <n v="4449"/>
    <n v="23866"/>
    <n v="3"/>
    <n v="15"/>
    <x v="0"/>
    <n v="1"/>
    <n v="80"/>
    <n v="2"/>
    <n v="15"/>
    <n v="3"/>
    <n v="13"/>
    <n v="11"/>
    <n v="10"/>
    <n v="7"/>
  </r>
  <r>
    <s v="No"/>
    <s v="Travel_Rarely"/>
    <x v="2"/>
    <s v="Current Employees"/>
    <x v="1"/>
    <x v="0"/>
    <s v="STAFF-530"/>
    <n v="530"/>
    <x v="1"/>
    <x v="2"/>
    <x v="1"/>
    <s v="No"/>
    <s v="Y"/>
    <n v="3"/>
    <n v="-2"/>
    <n v="0"/>
    <n v="31"/>
    <n v="0"/>
    <m/>
    <n v="0"/>
    <n v="1"/>
    <n v="329"/>
    <n v="1"/>
    <x v="0"/>
    <n v="1"/>
    <n v="4"/>
    <n v="98"/>
    <n v="2"/>
    <n v="1"/>
    <n v="2"/>
    <n v="2218"/>
    <n v="16193"/>
    <n v="1"/>
    <n v="12"/>
    <x v="0"/>
    <n v="3"/>
    <n v="80"/>
    <n v="1"/>
    <n v="4"/>
    <n v="3"/>
    <n v="4"/>
    <n v="2"/>
    <n v="3"/>
    <n v="2"/>
  </r>
  <r>
    <s v="No"/>
    <s v="Travel_Frequently"/>
    <x v="0"/>
    <s v="Current Employees"/>
    <x v="1"/>
    <x v="0"/>
    <s v="STAFF-531"/>
    <n v="531"/>
    <x v="1"/>
    <x v="5"/>
    <x v="2"/>
    <s v="Yes"/>
    <s v="Y"/>
    <n v="3"/>
    <n v="-2"/>
    <n v="0"/>
    <n v="39"/>
    <n v="0"/>
    <m/>
    <n v="0"/>
    <n v="1"/>
    <n v="1218"/>
    <n v="1"/>
    <x v="1"/>
    <n v="1"/>
    <n v="2"/>
    <n v="52"/>
    <n v="3"/>
    <n v="5"/>
    <n v="2"/>
    <n v="19197"/>
    <n v="8213"/>
    <n v="1"/>
    <n v="14"/>
    <x v="0"/>
    <n v="3"/>
    <n v="80"/>
    <n v="1"/>
    <n v="21"/>
    <n v="3"/>
    <n v="21"/>
    <n v="8"/>
    <n v="1"/>
    <n v="6"/>
  </r>
  <r>
    <s v="No"/>
    <s v="Travel_Frequently"/>
    <x v="3"/>
    <s v="Current Employees"/>
    <x v="0"/>
    <x v="0"/>
    <s v="STAFF-532"/>
    <n v="532"/>
    <x v="0"/>
    <x v="0"/>
    <x v="1"/>
    <s v="No"/>
    <s v="Y"/>
    <n v="0"/>
    <n v="-2"/>
    <n v="0"/>
    <n v="56"/>
    <n v="0"/>
    <m/>
    <n v="0"/>
    <n v="1"/>
    <n v="906"/>
    <n v="6"/>
    <x v="3"/>
    <n v="1"/>
    <n v="3"/>
    <n v="86"/>
    <n v="4"/>
    <n v="4"/>
    <n v="2"/>
    <n v="13212"/>
    <n v="18256"/>
    <n v="9"/>
    <n v="11"/>
    <x v="0"/>
    <n v="4"/>
    <n v="80"/>
    <n v="3"/>
    <n v="36"/>
    <n v="2"/>
    <n v="7"/>
    <n v="7"/>
    <n v="7"/>
    <n v="7"/>
  </r>
  <r>
    <s v="No"/>
    <s v="Travel_Rarely"/>
    <x v="2"/>
    <s v="Current Employees"/>
    <x v="0"/>
    <x v="4"/>
    <s v="STAFF-533"/>
    <n v="533"/>
    <x v="0"/>
    <x v="0"/>
    <x v="0"/>
    <s v="No"/>
    <s v="Y"/>
    <n v="6"/>
    <n v="-2"/>
    <n v="0"/>
    <n v="30"/>
    <n v="0"/>
    <m/>
    <n v="0"/>
    <n v="1"/>
    <n v="1082"/>
    <n v="12"/>
    <x v="3"/>
    <n v="1"/>
    <n v="4"/>
    <n v="83"/>
    <n v="3"/>
    <n v="2"/>
    <n v="4"/>
    <n v="6577"/>
    <n v="19558"/>
    <n v="0"/>
    <n v="11"/>
    <x v="0"/>
    <n v="2"/>
    <n v="80"/>
    <n v="0"/>
    <n v="6"/>
    <n v="3"/>
    <n v="5"/>
    <n v="4"/>
    <n v="4"/>
    <n v="4"/>
  </r>
  <r>
    <s v="No"/>
    <s v="Travel_Rarely"/>
    <x v="0"/>
    <s v="Current Employees"/>
    <x v="0"/>
    <x v="3"/>
    <s v="STAFF-534"/>
    <n v="534"/>
    <x v="1"/>
    <x v="0"/>
    <x v="1"/>
    <s v="No"/>
    <s v="Y"/>
    <n v="2"/>
    <n v="-2"/>
    <n v="0"/>
    <n v="41"/>
    <n v="0"/>
    <m/>
    <n v="0"/>
    <n v="1"/>
    <n v="645"/>
    <n v="1"/>
    <x v="3"/>
    <n v="1"/>
    <n v="2"/>
    <n v="49"/>
    <n v="4"/>
    <n v="3"/>
    <n v="1"/>
    <n v="8392"/>
    <n v="19566"/>
    <n v="1"/>
    <n v="16"/>
    <x v="0"/>
    <n v="3"/>
    <n v="80"/>
    <n v="1"/>
    <n v="10"/>
    <n v="3"/>
    <n v="10"/>
    <n v="7"/>
    <n v="0"/>
    <n v="7"/>
  </r>
  <r>
    <s v="No"/>
    <s v="Travel_Rarely"/>
    <x v="2"/>
    <s v="Current Employees"/>
    <x v="1"/>
    <x v="2"/>
    <s v="STAFF-536"/>
    <n v="536"/>
    <x v="1"/>
    <x v="2"/>
    <x v="2"/>
    <s v="No"/>
    <s v="Y"/>
    <n v="2"/>
    <n v="-2"/>
    <n v="0"/>
    <n v="28"/>
    <n v="0"/>
    <m/>
    <n v="0"/>
    <n v="1"/>
    <n v="1300"/>
    <n v="17"/>
    <x v="0"/>
    <n v="1"/>
    <n v="3"/>
    <n v="79"/>
    <n v="3"/>
    <n v="2"/>
    <n v="3"/>
    <n v="4558"/>
    <n v="13535"/>
    <n v="1"/>
    <n v="12"/>
    <x v="0"/>
    <n v="4"/>
    <n v="80"/>
    <n v="1"/>
    <n v="10"/>
    <n v="3"/>
    <n v="10"/>
    <n v="0"/>
    <n v="1"/>
    <n v="8"/>
  </r>
  <r>
    <s v="Yes"/>
    <s v="Travel_Rarely"/>
    <x v="2"/>
    <s v="Ex-Employees"/>
    <x v="1"/>
    <x v="2"/>
    <s v="STAFF-538"/>
    <n v="538"/>
    <x v="1"/>
    <x v="2"/>
    <x v="1"/>
    <s v="No"/>
    <s v="Y"/>
    <n v="5"/>
    <n v="-2"/>
    <n v="0"/>
    <n v="25"/>
    <n v="1"/>
    <n v="1"/>
    <n v="1"/>
    <n v="0"/>
    <n v="688"/>
    <n v="3"/>
    <x v="3"/>
    <n v="1"/>
    <n v="1"/>
    <n v="91"/>
    <n v="3"/>
    <n v="1"/>
    <n v="3"/>
    <n v="4031"/>
    <n v="9396"/>
    <n v="5"/>
    <n v="13"/>
    <x v="0"/>
    <n v="3"/>
    <n v="80"/>
    <n v="1"/>
    <n v="6"/>
    <n v="3"/>
    <n v="2"/>
    <n v="2"/>
    <n v="0"/>
    <n v="2"/>
  </r>
  <r>
    <s v="No"/>
    <s v="Travel_Rarely"/>
    <x v="1"/>
    <s v="Current Employees"/>
    <x v="1"/>
    <x v="2"/>
    <s v="STAFF-543"/>
    <n v="543"/>
    <x v="1"/>
    <x v="3"/>
    <x v="1"/>
    <s v="Yes"/>
    <s v="Y"/>
    <n v="4"/>
    <n v="-2"/>
    <n v="0"/>
    <n v="52"/>
    <n v="0"/>
    <m/>
    <n v="0"/>
    <n v="1"/>
    <n v="319"/>
    <n v="3"/>
    <x v="3"/>
    <n v="1"/>
    <n v="4"/>
    <n v="39"/>
    <n v="2"/>
    <n v="3"/>
    <n v="3"/>
    <n v="7969"/>
    <n v="19609"/>
    <n v="2"/>
    <n v="14"/>
    <x v="0"/>
    <n v="3"/>
    <n v="80"/>
    <n v="0"/>
    <n v="28"/>
    <n v="3"/>
    <n v="5"/>
    <n v="4"/>
    <n v="0"/>
    <n v="4"/>
  </r>
  <r>
    <s v="No"/>
    <s v="Travel_Rarely"/>
    <x v="1"/>
    <s v="Current Employees"/>
    <x v="1"/>
    <x v="0"/>
    <s v="STAFF-544"/>
    <n v="544"/>
    <x v="1"/>
    <x v="1"/>
    <x v="1"/>
    <s v="No"/>
    <s v="Y"/>
    <n v="3"/>
    <n v="-2"/>
    <n v="0"/>
    <n v="45"/>
    <n v="0"/>
    <m/>
    <n v="0"/>
    <n v="1"/>
    <n v="192"/>
    <n v="10"/>
    <x v="0"/>
    <n v="1"/>
    <n v="1"/>
    <n v="69"/>
    <n v="3"/>
    <n v="1"/>
    <n v="2"/>
    <n v="2654"/>
    <n v="9655"/>
    <n v="3"/>
    <n v="21"/>
    <x v="1"/>
    <n v="4"/>
    <n v="80"/>
    <n v="2"/>
    <n v="8"/>
    <n v="2"/>
    <n v="2"/>
    <n v="2"/>
    <n v="0"/>
    <n v="2"/>
  </r>
  <r>
    <s v="No"/>
    <s v="Travel_Rarely"/>
    <x v="1"/>
    <s v="Current Employees"/>
    <x v="1"/>
    <x v="0"/>
    <s v="STAFF-546"/>
    <n v="546"/>
    <x v="0"/>
    <x v="5"/>
    <x v="1"/>
    <s v="No"/>
    <s v="Y"/>
    <n v="2"/>
    <n v="-2"/>
    <n v="0"/>
    <n v="52"/>
    <n v="0"/>
    <m/>
    <n v="0"/>
    <n v="1"/>
    <n v="1490"/>
    <n v="4"/>
    <x v="0"/>
    <n v="1"/>
    <n v="4"/>
    <n v="30"/>
    <n v="3"/>
    <n v="4"/>
    <n v="2"/>
    <n v="16555"/>
    <n v="10310"/>
    <n v="2"/>
    <n v="13"/>
    <x v="0"/>
    <n v="4"/>
    <n v="80"/>
    <n v="0"/>
    <n v="31"/>
    <n v="1"/>
    <n v="5"/>
    <n v="2"/>
    <n v="1"/>
    <n v="4"/>
  </r>
  <r>
    <s v="No"/>
    <s v="Travel_Frequently"/>
    <x v="0"/>
    <s v="Current Employees"/>
    <x v="1"/>
    <x v="0"/>
    <s v="STAFF-547"/>
    <n v="547"/>
    <x v="0"/>
    <x v="1"/>
    <x v="2"/>
    <s v="No"/>
    <s v="Y"/>
    <n v="3"/>
    <n v="-2"/>
    <n v="0"/>
    <n v="42"/>
    <n v="0"/>
    <m/>
    <n v="0"/>
    <n v="1"/>
    <n v="532"/>
    <n v="29"/>
    <x v="0"/>
    <n v="1"/>
    <n v="1"/>
    <n v="92"/>
    <n v="3"/>
    <n v="2"/>
    <n v="2"/>
    <n v="4556"/>
    <n v="12932"/>
    <n v="2"/>
    <n v="11"/>
    <x v="0"/>
    <n v="2"/>
    <n v="80"/>
    <n v="1"/>
    <n v="19"/>
    <n v="3"/>
    <n v="5"/>
    <n v="4"/>
    <n v="0"/>
    <n v="2"/>
  </r>
  <r>
    <s v="No"/>
    <s v="Travel_Rarely"/>
    <x v="2"/>
    <s v="Current Employees"/>
    <x v="1"/>
    <x v="0"/>
    <s v="STAFF-548"/>
    <n v="548"/>
    <x v="0"/>
    <x v="3"/>
    <x v="0"/>
    <s v="No"/>
    <s v="Y"/>
    <n v="2"/>
    <n v="-2"/>
    <n v="0"/>
    <n v="30"/>
    <n v="0"/>
    <m/>
    <n v="0"/>
    <n v="1"/>
    <n v="317"/>
    <n v="2"/>
    <x v="3"/>
    <n v="1"/>
    <n v="3"/>
    <n v="43"/>
    <n v="1"/>
    <n v="2"/>
    <n v="2"/>
    <n v="6091"/>
    <n v="24793"/>
    <n v="2"/>
    <n v="20"/>
    <x v="1"/>
    <n v="3"/>
    <n v="80"/>
    <n v="0"/>
    <n v="11"/>
    <n v="3"/>
    <n v="5"/>
    <n v="4"/>
    <n v="0"/>
    <n v="2"/>
  </r>
  <r>
    <s v="No"/>
    <s v="Travel_Rarely"/>
    <x v="3"/>
    <s v="Current Employees"/>
    <x v="1"/>
    <x v="0"/>
    <s v="STAFF-549"/>
    <n v="549"/>
    <x v="0"/>
    <x v="5"/>
    <x v="1"/>
    <s v="No"/>
    <s v="Y"/>
    <n v="5"/>
    <n v="-2"/>
    <n v="0"/>
    <n v="60"/>
    <n v="0"/>
    <m/>
    <n v="0"/>
    <n v="1"/>
    <n v="422"/>
    <n v="7"/>
    <x v="3"/>
    <n v="1"/>
    <n v="1"/>
    <n v="41"/>
    <n v="3"/>
    <n v="5"/>
    <n v="2"/>
    <n v="19566"/>
    <n v="3854"/>
    <n v="5"/>
    <n v="11"/>
    <x v="0"/>
    <n v="4"/>
    <n v="80"/>
    <n v="0"/>
    <n v="33"/>
    <n v="1"/>
    <n v="29"/>
    <n v="8"/>
    <n v="11"/>
    <n v="10"/>
  </r>
  <r>
    <s v="No"/>
    <s v="Travel_Rarely"/>
    <x v="1"/>
    <s v="Current Employees"/>
    <x v="1"/>
    <x v="2"/>
    <s v="STAFF-550"/>
    <n v="550"/>
    <x v="0"/>
    <x v="3"/>
    <x v="2"/>
    <s v="No"/>
    <s v="Y"/>
    <n v="5"/>
    <n v="-2"/>
    <n v="0"/>
    <n v="46"/>
    <n v="0"/>
    <m/>
    <n v="0"/>
    <n v="1"/>
    <n v="1485"/>
    <n v="18"/>
    <x v="3"/>
    <n v="1"/>
    <n v="3"/>
    <n v="87"/>
    <n v="3"/>
    <n v="2"/>
    <n v="3"/>
    <n v="4810"/>
    <n v="26314"/>
    <n v="2"/>
    <n v="14"/>
    <x v="0"/>
    <n v="3"/>
    <n v="80"/>
    <n v="1"/>
    <n v="19"/>
    <n v="2"/>
    <n v="10"/>
    <n v="7"/>
    <n v="0"/>
    <n v="8"/>
  </r>
  <r>
    <s v="No"/>
    <s v="Travel_Frequently"/>
    <x v="0"/>
    <s v="Current Employees"/>
    <x v="1"/>
    <x v="4"/>
    <s v="STAFF-551"/>
    <n v="551"/>
    <x v="0"/>
    <x v="4"/>
    <x v="1"/>
    <s v="No"/>
    <s v="Y"/>
    <n v="4"/>
    <n v="-2"/>
    <n v="0"/>
    <n v="42"/>
    <n v="0"/>
    <m/>
    <n v="0"/>
    <n v="1"/>
    <n v="1368"/>
    <n v="28"/>
    <x v="2"/>
    <n v="1"/>
    <n v="4"/>
    <n v="88"/>
    <n v="2"/>
    <n v="2"/>
    <n v="4"/>
    <n v="4523"/>
    <n v="4386"/>
    <n v="0"/>
    <n v="11"/>
    <x v="0"/>
    <n v="4"/>
    <n v="80"/>
    <n v="3"/>
    <n v="7"/>
    <n v="4"/>
    <n v="6"/>
    <n v="5"/>
    <n v="0"/>
    <n v="4"/>
  </r>
  <r>
    <s v="Yes"/>
    <s v="Travel_Rarely"/>
    <x v="4"/>
    <s v="Ex-Employees"/>
    <x v="0"/>
    <x v="4"/>
    <s v="STAFF-554"/>
    <n v="554"/>
    <x v="0"/>
    <x v="6"/>
    <x v="0"/>
    <s v="Yes"/>
    <s v="Y"/>
    <n v="4"/>
    <n v="-2"/>
    <n v="0"/>
    <n v="24"/>
    <n v="1"/>
    <n v="1"/>
    <n v="1"/>
    <n v="0"/>
    <n v="1448"/>
    <n v="1"/>
    <x v="1"/>
    <n v="1"/>
    <n v="4"/>
    <n v="62"/>
    <n v="3"/>
    <n v="1"/>
    <n v="4"/>
    <n v="3202"/>
    <n v="21972"/>
    <n v="1"/>
    <n v="16"/>
    <x v="0"/>
    <n v="2"/>
    <n v="80"/>
    <n v="0"/>
    <n v="6"/>
    <n v="3"/>
    <n v="5"/>
    <n v="3"/>
    <n v="1"/>
    <n v="4"/>
  </r>
  <r>
    <s v="Yes"/>
    <s v="Travel_Frequently"/>
    <x v="2"/>
    <s v="Ex-Employees"/>
    <x v="0"/>
    <x v="3"/>
    <s v="STAFF-555"/>
    <n v="555"/>
    <x v="0"/>
    <x v="6"/>
    <x v="2"/>
    <s v="No"/>
    <s v="Y"/>
    <n v="3"/>
    <n v="-2"/>
    <n v="0"/>
    <n v="34"/>
    <n v="1"/>
    <n v="1"/>
    <n v="1"/>
    <n v="0"/>
    <n v="296"/>
    <n v="6"/>
    <x v="0"/>
    <n v="1"/>
    <n v="4"/>
    <n v="33"/>
    <n v="1"/>
    <n v="1"/>
    <n v="1"/>
    <n v="2351"/>
    <n v="12253"/>
    <n v="0"/>
    <n v="16"/>
    <x v="0"/>
    <n v="4"/>
    <n v="80"/>
    <n v="1"/>
    <n v="3"/>
    <n v="2"/>
    <n v="2"/>
    <n v="2"/>
    <n v="1"/>
    <n v="0"/>
  </r>
  <r>
    <s v="No"/>
    <s v="Travel_Frequently"/>
    <x v="0"/>
    <s v="Current Employees"/>
    <x v="1"/>
    <x v="0"/>
    <s v="STAFF-556"/>
    <n v="556"/>
    <x v="1"/>
    <x v="2"/>
    <x v="1"/>
    <s v="Yes"/>
    <s v="Y"/>
    <n v="3"/>
    <n v="-2"/>
    <n v="0"/>
    <n v="38"/>
    <n v="0"/>
    <m/>
    <n v="0"/>
    <n v="1"/>
    <n v="1490"/>
    <n v="2"/>
    <x v="0"/>
    <n v="1"/>
    <n v="4"/>
    <n v="42"/>
    <n v="3"/>
    <n v="1"/>
    <n v="2"/>
    <n v="1702"/>
    <n v="12106"/>
    <n v="1"/>
    <n v="23"/>
    <x v="1"/>
    <n v="3"/>
    <n v="80"/>
    <n v="1"/>
    <n v="1"/>
    <n v="3"/>
    <n v="1"/>
    <n v="0"/>
    <n v="0"/>
    <n v="0"/>
  </r>
  <r>
    <s v="No"/>
    <s v="Travel_Rarely"/>
    <x v="0"/>
    <s v="Current Employees"/>
    <x v="0"/>
    <x v="0"/>
    <s v="STAFF-558"/>
    <n v="558"/>
    <x v="0"/>
    <x v="5"/>
    <x v="1"/>
    <s v="No"/>
    <s v="Y"/>
    <n v="2"/>
    <n v="-2"/>
    <n v="0"/>
    <n v="40"/>
    <n v="0"/>
    <m/>
    <n v="0"/>
    <n v="1"/>
    <n v="1398"/>
    <n v="2"/>
    <x v="2"/>
    <n v="1"/>
    <n v="3"/>
    <n v="79"/>
    <n v="3"/>
    <n v="5"/>
    <n v="2"/>
    <n v="18041"/>
    <n v="13022"/>
    <n v="0"/>
    <n v="14"/>
    <x v="0"/>
    <n v="4"/>
    <n v="80"/>
    <n v="0"/>
    <n v="21"/>
    <n v="3"/>
    <n v="20"/>
    <n v="15"/>
    <n v="1"/>
    <n v="12"/>
  </r>
  <r>
    <s v="No"/>
    <s v="Travel_Rarely"/>
    <x v="2"/>
    <s v="Current Employees"/>
    <x v="1"/>
    <x v="0"/>
    <s v="STAFF-560"/>
    <n v="560"/>
    <x v="0"/>
    <x v="1"/>
    <x v="2"/>
    <s v="No"/>
    <s v="Y"/>
    <n v="3"/>
    <n v="-2"/>
    <n v="0"/>
    <n v="26"/>
    <n v="0"/>
    <m/>
    <n v="0"/>
    <n v="1"/>
    <n v="1349"/>
    <n v="23"/>
    <x v="3"/>
    <n v="1"/>
    <n v="1"/>
    <n v="90"/>
    <n v="3"/>
    <n v="1"/>
    <n v="2"/>
    <n v="2886"/>
    <n v="3032"/>
    <n v="1"/>
    <n v="22"/>
    <x v="1"/>
    <n v="2"/>
    <n v="80"/>
    <n v="2"/>
    <n v="3"/>
    <n v="1"/>
    <n v="3"/>
    <n v="2"/>
    <n v="0"/>
    <n v="2"/>
  </r>
  <r>
    <s v="No"/>
    <s v="Non-Travel"/>
    <x v="2"/>
    <s v="Current Employees"/>
    <x v="1"/>
    <x v="0"/>
    <s v="STAFF-562"/>
    <n v="562"/>
    <x v="1"/>
    <x v="2"/>
    <x v="1"/>
    <s v="No"/>
    <s v="Y"/>
    <n v="3"/>
    <n v="-2"/>
    <n v="0"/>
    <n v="30"/>
    <n v="0"/>
    <m/>
    <n v="0"/>
    <n v="1"/>
    <n v="1400"/>
    <n v="3"/>
    <x v="3"/>
    <n v="1"/>
    <n v="3"/>
    <n v="53"/>
    <n v="3"/>
    <n v="1"/>
    <n v="2"/>
    <n v="2097"/>
    <n v="16734"/>
    <n v="4"/>
    <n v="15"/>
    <x v="0"/>
    <n v="3"/>
    <n v="80"/>
    <n v="1"/>
    <n v="9"/>
    <n v="1"/>
    <n v="5"/>
    <n v="3"/>
    <n v="1"/>
    <n v="4"/>
  </r>
  <r>
    <s v="No"/>
    <s v="Travel_Rarely"/>
    <x v="2"/>
    <s v="Current Employees"/>
    <x v="1"/>
    <x v="2"/>
    <s v="STAFF-564"/>
    <n v="564"/>
    <x v="1"/>
    <x v="7"/>
    <x v="1"/>
    <s v="No"/>
    <s v="Y"/>
    <n v="2"/>
    <n v="-2"/>
    <n v="0"/>
    <n v="29"/>
    <n v="0"/>
    <m/>
    <n v="0"/>
    <n v="1"/>
    <n v="986"/>
    <n v="3"/>
    <x v="2"/>
    <n v="1"/>
    <n v="2"/>
    <n v="93"/>
    <n v="2"/>
    <n v="3"/>
    <n v="3"/>
    <n v="11935"/>
    <n v="21526"/>
    <n v="1"/>
    <n v="18"/>
    <x v="0"/>
    <n v="3"/>
    <n v="80"/>
    <n v="0"/>
    <n v="10"/>
    <n v="3"/>
    <n v="10"/>
    <n v="2"/>
    <n v="0"/>
    <n v="7"/>
  </r>
  <r>
    <s v="Yes"/>
    <s v="Travel_Rarely"/>
    <x v="2"/>
    <s v="Ex-Employees"/>
    <x v="1"/>
    <x v="4"/>
    <s v="STAFF-565"/>
    <n v="565"/>
    <x v="0"/>
    <x v="1"/>
    <x v="1"/>
    <s v="No"/>
    <s v="Y"/>
    <n v="2"/>
    <n v="-2"/>
    <n v="0"/>
    <n v="29"/>
    <n v="1"/>
    <n v="1"/>
    <n v="1"/>
    <n v="0"/>
    <n v="408"/>
    <n v="25"/>
    <x v="4"/>
    <n v="1"/>
    <n v="4"/>
    <n v="71"/>
    <n v="2"/>
    <n v="1"/>
    <n v="4"/>
    <n v="2546"/>
    <n v="18300"/>
    <n v="5"/>
    <n v="16"/>
    <x v="0"/>
    <n v="2"/>
    <n v="80"/>
    <n v="0"/>
    <n v="6"/>
    <n v="4"/>
    <n v="2"/>
    <n v="2"/>
    <n v="1"/>
    <n v="1"/>
  </r>
  <r>
    <s v="Yes"/>
    <s v="Travel_Rarely"/>
    <x v="4"/>
    <s v="Ex-Employees"/>
    <x v="2"/>
    <x v="4"/>
    <s v="STAFF-566"/>
    <n v="566"/>
    <x v="1"/>
    <x v="8"/>
    <x v="0"/>
    <s v="No"/>
    <s v="Y"/>
    <n v="3"/>
    <n v="-2"/>
    <n v="0"/>
    <n v="19"/>
    <n v="1"/>
    <n v="1"/>
    <n v="1"/>
    <n v="0"/>
    <n v="489"/>
    <n v="2"/>
    <x v="0"/>
    <n v="1"/>
    <n v="4"/>
    <n v="52"/>
    <n v="2"/>
    <n v="1"/>
    <n v="4"/>
    <n v="2564"/>
    <n v="18437"/>
    <n v="1"/>
    <n v="12"/>
    <x v="0"/>
    <n v="3"/>
    <n v="80"/>
    <n v="0"/>
    <n v="1"/>
    <n v="4"/>
    <n v="1"/>
    <n v="0"/>
    <n v="0"/>
    <n v="0"/>
  </r>
  <r>
    <s v="No"/>
    <s v="Non-Travel"/>
    <x v="2"/>
    <s v="Current Employees"/>
    <x v="0"/>
    <x v="1"/>
    <s v="STAFF-567"/>
    <n v="567"/>
    <x v="0"/>
    <x v="0"/>
    <x v="1"/>
    <s v="No"/>
    <s v="Y"/>
    <n v="3"/>
    <n v="-2"/>
    <n v="0"/>
    <n v="30"/>
    <n v="0"/>
    <m/>
    <n v="0"/>
    <n v="1"/>
    <n v="1398"/>
    <n v="22"/>
    <x v="2"/>
    <n v="1"/>
    <n v="3"/>
    <n v="69"/>
    <n v="3"/>
    <n v="3"/>
    <n v="3"/>
    <n v="8412"/>
    <n v="2890"/>
    <n v="0"/>
    <n v="11"/>
    <x v="0"/>
    <n v="3"/>
    <n v="80"/>
    <n v="0"/>
    <n v="10"/>
    <n v="3"/>
    <n v="9"/>
    <n v="8"/>
    <n v="7"/>
    <n v="8"/>
  </r>
  <r>
    <s v="No"/>
    <s v="Travel_Rarely"/>
    <x v="3"/>
    <s v="Current Employees"/>
    <x v="0"/>
    <x v="3"/>
    <s v="STAFF-568"/>
    <n v="568"/>
    <x v="1"/>
    <x v="5"/>
    <x v="2"/>
    <s v="No"/>
    <s v="Y"/>
    <n v="3"/>
    <n v="-2"/>
    <n v="0"/>
    <n v="57"/>
    <n v="0"/>
    <m/>
    <n v="0"/>
    <n v="1"/>
    <n v="210"/>
    <n v="29"/>
    <x v="3"/>
    <n v="1"/>
    <n v="1"/>
    <n v="56"/>
    <n v="2"/>
    <n v="4"/>
    <n v="1"/>
    <n v="14118"/>
    <n v="22102"/>
    <n v="3"/>
    <n v="12"/>
    <x v="0"/>
    <n v="3"/>
    <n v="80"/>
    <n v="1"/>
    <n v="32"/>
    <n v="2"/>
    <n v="1"/>
    <n v="0"/>
    <n v="0"/>
    <n v="0"/>
  </r>
  <r>
    <s v="No"/>
    <s v="Travel_Rarely"/>
    <x v="1"/>
    <s v="Current Employees"/>
    <x v="1"/>
    <x v="0"/>
    <s v="STAFF-569"/>
    <n v="569"/>
    <x v="1"/>
    <x v="5"/>
    <x v="1"/>
    <s v="No"/>
    <s v="Y"/>
    <n v="2"/>
    <n v="-2"/>
    <n v="0"/>
    <n v="50"/>
    <n v="0"/>
    <m/>
    <n v="0"/>
    <n v="1"/>
    <n v="1099"/>
    <n v="29"/>
    <x v="2"/>
    <n v="1"/>
    <n v="2"/>
    <n v="88"/>
    <n v="2"/>
    <n v="4"/>
    <n v="2"/>
    <n v="17046"/>
    <n v="9314"/>
    <n v="0"/>
    <n v="15"/>
    <x v="0"/>
    <n v="2"/>
    <n v="80"/>
    <n v="1"/>
    <n v="28"/>
    <n v="3"/>
    <n v="27"/>
    <n v="10"/>
    <n v="15"/>
    <n v="7"/>
  </r>
  <r>
    <s v="No"/>
    <s v="Non-Travel"/>
    <x v="2"/>
    <s v="Current Employees"/>
    <x v="1"/>
    <x v="2"/>
    <s v="STAFF-571"/>
    <n v="571"/>
    <x v="0"/>
    <x v="2"/>
    <x v="0"/>
    <s v="No"/>
    <s v="Y"/>
    <n v="2"/>
    <n v="-2"/>
    <n v="0"/>
    <n v="30"/>
    <n v="0"/>
    <m/>
    <n v="0"/>
    <n v="1"/>
    <n v="1116"/>
    <n v="2"/>
    <x v="3"/>
    <n v="1"/>
    <n v="3"/>
    <n v="49"/>
    <n v="3"/>
    <n v="1"/>
    <n v="4"/>
    <n v="2564"/>
    <n v="7181"/>
    <n v="0"/>
    <n v="14"/>
    <x v="0"/>
    <n v="3"/>
    <n v="80"/>
    <n v="0"/>
    <n v="12"/>
    <n v="2"/>
    <n v="11"/>
    <n v="7"/>
    <n v="6"/>
    <n v="7"/>
  </r>
  <r>
    <s v="No"/>
    <s v="Travel_Frequently"/>
    <x v="3"/>
    <s v="Current Employees"/>
    <x v="0"/>
    <x v="3"/>
    <s v="STAFF-573"/>
    <n v="573"/>
    <x v="0"/>
    <x v="0"/>
    <x v="1"/>
    <s v="No"/>
    <s v="Y"/>
    <n v="5"/>
    <n v="-2"/>
    <n v="0"/>
    <n v="60"/>
    <n v="0"/>
    <m/>
    <n v="0"/>
    <n v="1"/>
    <n v="1499"/>
    <n v="28"/>
    <x v="3"/>
    <n v="1"/>
    <n v="3"/>
    <n v="80"/>
    <n v="2"/>
    <n v="3"/>
    <n v="1"/>
    <n v="10266"/>
    <n v="2845"/>
    <n v="4"/>
    <n v="19"/>
    <x v="0"/>
    <n v="4"/>
    <n v="80"/>
    <n v="0"/>
    <n v="22"/>
    <n v="4"/>
    <n v="18"/>
    <n v="13"/>
    <n v="13"/>
    <n v="11"/>
  </r>
  <r>
    <s v="No"/>
    <s v="Travel_Rarely"/>
    <x v="1"/>
    <s v="Current Employees"/>
    <x v="1"/>
    <x v="2"/>
    <s v="STAFF-574"/>
    <n v="574"/>
    <x v="0"/>
    <x v="3"/>
    <x v="2"/>
    <s v="No"/>
    <s v="Y"/>
    <n v="2"/>
    <n v="-2"/>
    <n v="0"/>
    <n v="47"/>
    <n v="0"/>
    <m/>
    <n v="0"/>
    <n v="1"/>
    <n v="983"/>
    <n v="2"/>
    <x v="0"/>
    <n v="1"/>
    <n v="1"/>
    <n v="65"/>
    <n v="3"/>
    <n v="2"/>
    <n v="4"/>
    <n v="5070"/>
    <n v="7389"/>
    <n v="5"/>
    <n v="13"/>
    <x v="0"/>
    <n v="3"/>
    <n v="80"/>
    <n v="3"/>
    <n v="20"/>
    <n v="3"/>
    <n v="5"/>
    <n v="0"/>
    <n v="0"/>
    <n v="4"/>
  </r>
  <r>
    <s v="No"/>
    <s v="Travel_Rarely"/>
    <x v="1"/>
    <s v="Current Employees"/>
    <x v="1"/>
    <x v="0"/>
    <s v="STAFF-575"/>
    <n v="575"/>
    <x v="1"/>
    <x v="7"/>
    <x v="1"/>
    <s v="No"/>
    <s v="Y"/>
    <n v="2"/>
    <n v="-2"/>
    <n v="0"/>
    <n v="46"/>
    <n v="0"/>
    <m/>
    <n v="0"/>
    <n v="1"/>
    <n v="1009"/>
    <n v="2"/>
    <x v="3"/>
    <n v="1"/>
    <n v="1"/>
    <n v="51"/>
    <n v="3"/>
    <n v="4"/>
    <n v="2"/>
    <n v="17861"/>
    <n v="2288"/>
    <n v="6"/>
    <n v="13"/>
    <x v="0"/>
    <n v="3"/>
    <n v="80"/>
    <n v="0"/>
    <n v="26"/>
    <n v="1"/>
    <n v="3"/>
    <n v="2"/>
    <n v="0"/>
    <n v="1"/>
  </r>
  <r>
    <s v="No"/>
    <s v="Travel_Rarely"/>
    <x v="0"/>
    <s v="Current Employees"/>
    <x v="1"/>
    <x v="0"/>
    <s v="STAFF-577"/>
    <n v="577"/>
    <x v="1"/>
    <x v="2"/>
    <x v="0"/>
    <s v="No"/>
    <s v="Y"/>
    <n v="2"/>
    <n v="-2"/>
    <n v="0"/>
    <n v="35"/>
    <n v="0"/>
    <m/>
    <n v="0"/>
    <n v="1"/>
    <n v="144"/>
    <n v="22"/>
    <x v="3"/>
    <n v="1"/>
    <n v="4"/>
    <n v="46"/>
    <n v="1"/>
    <n v="1"/>
    <n v="2"/>
    <n v="4230"/>
    <n v="19225"/>
    <n v="0"/>
    <n v="15"/>
    <x v="0"/>
    <n v="3"/>
    <n v="80"/>
    <n v="0"/>
    <n v="6"/>
    <n v="3"/>
    <n v="5"/>
    <n v="4"/>
    <n v="4"/>
    <n v="3"/>
  </r>
  <r>
    <s v="No"/>
    <s v="Travel_Rarely"/>
    <x v="1"/>
    <s v="Current Employees"/>
    <x v="1"/>
    <x v="0"/>
    <s v="STAFF-578"/>
    <n v="578"/>
    <x v="0"/>
    <x v="2"/>
    <x v="0"/>
    <s v="No"/>
    <s v="Y"/>
    <n v="3"/>
    <n v="-2"/>
    <n v="0"/>
    <n v="54"/>
    <n v="0"/>
    <m/>
    <n v="0"/>
    <n v="1"/>
    <n v="548"/>
    <n v="8"/>
    <x v="2"/>
    <n v="1"/>
    <n v="3"/>
    <n v="42"/>
    <n v="3"/>
    <n v="2"/>
    <n v="2"/>
    <n v="3780"/>
    <n v="23428"/>
    <n v="7"/>
    <n v="11"/>
    <x v="0"/>
    <n v="3"/>
    <n v="80"/>
    <n v="0"/>
    <n v="19"/>
    <n v="3"/>
    <n v="1"/>
    <n v="0"/>
    <n v="0"/>
    <n v="0"/>
  </r>
  <r>
    <s v="No"/>
    <s v="Travel_Rarely"/>
    <x v="2"/>
    <s v="Current Employees"/>
    <x v="1"/>
    <x v="0"/>
    <s v="STAFF-579"/>
    <n v="579"/>
    <x v="1"/>
    <x v="1"/>
    <x v="2"/>
    <s v="No"/>
    <s v="Y"/>
    <n v="3"/>
    <n v="-2"/>
    <n v="0"/>
    <n v="34"/>
    <n v="0"/>
    <m/>
    <n v="0"/>
    <n v="1"/>
    <n v="1303"/>
    <n v="2"/>
    <x v="2"/>
    <n v="1"/>
    <n v="4"/>
    <n v="62"/>
    <n v="2"/>
    <n v="1"/>
    <n v="2"/>
    <n v="2768"/>
    <n v="8416"/>
    <n v="3"/>
    <n v="12"/>
    <x v="0"/>
    <n v="3"/>
    <n v="80"/>
    <n v="1"/>
    <n v="14"/>
    <n v="3"/>
    <n v="7"/>
    <n v="3"/>
    <n v="5"/>
    <n v="7"/>
  </r>
  <r>
    <s v="No"/>
    <s v="Travel_Rarely"/>
    <x v="1"/>
    <s v="Current Employees"/>
    <x v="0"/>
    <x v="3"/>
    <s v="STAFF-580"/>
    <n v="580"/>
    <x v="0"/>
    <x v="0"/>
    <x v="1"/>
    <s v="Yes"/>
    <s v="Y"/>
    <n v="3"/>
    <n v="-2"/>
    <n v="0"/>
    <n v="46"/>
    <n v="0"/>
    <m/>
    <n v="0"/>
    <n v="1"/>
    <n v="1125"/>
    <n v="10"/>
    <x v="3"/>
    <n v="1"/>
    <n v="3"/>
    <n v="94"/>
    <n v="2"/>
    <n v="3"/>
    <n v="1"/>
    <n v="9071"/>
    <n v="11563"/>
    <n v="2"/>
    <n v="19"/>
    <x v="0"/>
    <n v="3"/>
    <n v="80"/>
    <n v="1"/>
    <n v="15"/>
    <n v="3"/>
    <n v="3"/>
    <n v="2"/>
    <n v="1"/>
    <n v="2"/>
  </r>
  <r>
    <s v="No"/>
    <s v="Travel_Rarely"/>
    <x v="2"/>
    <s v="Current Employees"/>
    <x v="1"/>
    <x v="0"/>
    <s v="STAFF-581"/>
    <n v="581"/>
    <x v="1"/>
    <x v="3"/>
    <x v="2"/>
    <s v="No"/>
    <s v="Y"/>
    <n v="6"/>
    <n v="-2"/>
    <n v="0"/>
    <n v="31"/>
    <n v="0"/>
    <m/>
    <n v="0"/>
    <n v="1"/>
    <n v="1274"/>
    <n v="9"/>
    <x v="1"/>
    <n v="1"/>
    <n v="3"/>
    <n v="33"/>
    <n v="3"/>
    <n v="3"/>
    <n v="2"/>
    <n v="10648"/>
    <n v="14394"/>
    <n v="1"/>
    <n v="25"/>
    <x v="1"/>
    <n v="4"/>
    <n v="80"/>
    <n v="1"/>
    <n v="13"/>
    <n v="4"/>
    <n v="13"/>
    <n v="8"/>
    <n v="0"/>
    <n v="8"/>
  </r>
  <r>
    <s v="Yes"/>
    <s v="Travel_Rarely"/>
    <x v="2"/>
    <s v="Ex-Employees"/>
    <x v="1"/>
    <x v="2"/>
    <s v="STAFF-582"/>
    <n v="582"/>
    <x v="1"/>
    <x v="5"/>
    <x v="1"/>
    <s v="Yes"/>
    <s v="Y"/>
    <n v="2"/>
    <n v="-2"/>
    <n v="0"/>
    <n v="33"/>
    <n v="1"/>
    <n v="1"/>
    <n v="1"/>
    <n v="0"/>
    <n v="1277"/>
    <n v="15"/>
    <x v="1"/>
    <n v="1"/>
    <n v="2"/>
    <n v="56"/>
    <n v="3"/>
    <n v="3"/>
    <n v="3"/>
    <n v="13610"/>
    <n v="24619"/>
    <n v="7"/>
    <n v="12"/>
    <x v="0"/>
    <n v="4"/>
    <n v="80"/>
    <n v="0"/>
    <n v="15"/>
    <n v="4"/>
    <n v="7"/>
    <n v="6"/>
    <n v="7"/>
    <n v="7"/>
  </r>
  <r>
    <s v="Yes"/>
    <s v="Travel_Rarely"/>
    <x v="2"/>
    <s v="Ex-Employees"/>
    <x v="1"/>
    <x v="2"/>
    <s v="STAFF-584"/>
    <n v="584"/>
    <x v="1"/>
    <x v="2"/>
    <x v="2"/>
    <s v="No"/>
    <s v="Y"/>
    <n v="2"/>
    <n v="-2"/>
    <n v="0"/>
    <n v="33"/>
    <n v="1"/>
    <n v="1"/>
    <n v="1"/>
    <n v="0"/>
    <n v="587"/>
    <n v="10"/>
    <x v="1"/>
    <n v="1"/>
    <n v="1"/>
    <n v="38"/>
    <n v="1"/>
    <n v="1"/>
    <n v="4"/>
    <n v="3408"/>
    <n v="6705"/>
    <n v="7"/>
    <n v="13"/>
    <x v="0"/>
    <n v="1"/>
    <n v="80"/>
    <n v="3"/>
    <n v="8"/>
    <n v="3"/>
    <n v="4"/>
    <n v="3"/>
    <n v="1"/>
    <n v="3"/>
  </r>
  <r>
    <s v="No"/>
    <s v="Travel_Rarely"/>
    <x v="2"/>
    <s v="Current Employees"/>
    <x v="0"/>
    <x v="3"/>
    <s v="STAFF-585"/>
    <n v="585"/>
    <x v="1"/>
    <x v="6"/>
    <x v="0"/>
    <s v="No"/>
    <s v="Y"/>
    <n v="3"/>
    <n v="-2"/>
    <n v="0"/>
    <n v="30"/>
    <n v="0"/>
    <m/>
    <n v="0"/>
    <n v="1"/>
    <n v="413"/>
    <n v="7"/>
    <x v="1"/>
    <n v="1"/>
    <n v="4"/>
    <n v="57"/>
    <n v="3"/>
    <n v="1"/>
    <n v="1"/>
    <n v="2983"/>
    <n v="18398"/>
    <n v="0"/>
    <n v="14"/>
    <x v="0"/>
    <n v="1"/>
    <n v="80"/>
    <n v="0"/>
    <n v="4"/>
    <n v="3"/>
    <n v="3"/>
    <n v="2"/>
    <n v="1"/>
    <n v="2"/>
  </r>
  <r>
    <s v="No"/>
    <s v="Travel_Rarely"/>
    <x v="0"/>
    <s v="Current Employees"/>
    <x v="1"/>
    <x v="0"/>
    <s v="STAFF-586"/>
    <n v="586"/>
    <x v="1"/>
    <x v="4"/>
    <x v="1"/>
    <s v="Yes"/>
    <s v="Y"/>
    <n v="2"/>
    <n v="-2"/>
    <n v="0"/>
    <n v="35"/>
    <n v="0"/>
    <m/>
    <n v="0"/>
    <n v="1"/>
    <n v="1276"/>
    <n v="16"/>
    <x v="3"/>
    <n v="1"/>
    <n v="4"/>
    <n v="72"/>
    <n v="3"/>
    <n v="3"/>
    <n v="2"/>
    <n v="7632"/>
    <n v="14295"/>
    <n v="4"/>
    <n v="12"/>
    <x v="0"/>
    <n v="3"/>
    <n v="80"/>
    <n v="0"/>
    <n v="10"/>
    <n v="3"/>
    <n v="8"/>
    <n v="7"/>
    <n v="0"/>
    <n v="0"/>
  </r>
  <r>
    <s v="Yes"/>
    <s v="Travel_Frequently"/>
    <x v="2"/>
    <s v="Ex-Employees"/>
    <x v="1"/>
    <x v="0"/>
    <s v="STAFF-587"/>
    <n v="587"/>
    <x v="1"/>
    <x v="4"/>
    <x v="1"/>
    <s v="No"/>
    <s v="Y"/>
    <n v="2"/>
    <n v="-2"/>
    <n v="0"/>
    <n v="31"/>
    <n v="1"/>
    <n v="1"/>
    <n v="1"/>
    <n v="0"/>
    <n v="534"/>
    <n v="20"/>
    <x v="3"/>
    <n v="1"/>
    <n v="1"/>
    <n v="66"/>
    <n v="3"/>
    <n v="3"/>
    <n v="2"/>
    <n v="9824"/>
    <n v="22908"/>
    <n v="3"/>
    <n v="12"/>
    <x v="0"/>
    <n v="1"/>
    <n v="80"/>
    <n v="0"/>
    <n v="12"/>
    <n v="3"/>
    <n v="1"/>
    <n v="0"/>
    <n v="0"/>
    <n v="0"/>
  </r>
  <r>
    <s v="Yes"/>
    <s v="Travel_Frequently"/>
    <x v="2"/>
    <s v="Ex-Employees"/>
    <x v="2"/>
    <x v="5"/>
    <s v="STAFF-590"/>
    <n v="590"/>
    <x v="0"/>
    <x v="8"/>
    <x v="2"/>
    <s v="Yes"/>
    <s v="Y"/>
    <n v="2"/>
    <n v="-2"/>
    <n v="0"/>
    <n v="34"/>
    <n v="1"/>
    <n v="1"/>
    <n v="1"/>
    <n v="0"/>
    <n v="988"/>
    <n v="23"/>
    <x v="3"/>
    <n v="1"/>
    <n v="2"/>
    <n v="43"/>
    <n v="3"/>
    <n v="3"/>
    <n v="3"/>
    <n v="9950"/>
    <n v="11533"/>
    <n v="9"/>
    <n v="15"/>
    <x v="0"/>
    <n v="3"/>
    <n v="80"/>
    <n v="3"/>
    <n v="11"/>
    <n v="3"/>
    <n v="3"/>
    <n v="2"/>
    <n v="0"/>
    <n v="2"/>
  </r>
  <r>
    <s v="No"/>
    <s v="Travel_Frequently"/>
    <x v="0"/>
    <s v="Current Employees"/>
    <x v="1"/>
    <x v="1"/>
    <s v="STAFF-591"/>
    <n v="591"/>
    <x v="1"/>
    <x v="2"/>
    <x v="1"/>
    <s v="No"/>
    <s v="Y"/>
    <n v="4"/>
    <n v="-2"/>
    <n v="0"/>
    <n v="42"/>
    <n v="0"/>
    <m/>
    <n v="0"/>
    <n v="1"/>
    <n v="1474"/>
    <n v="5"/>
    <x v="0"/>
    <n v="1"/>
    <n v="2"/>
    <n v="97"/>
    <n v="3"/>
    <n v="1"/>
    <n v="3"/>
    <n v="2093"/>
    <n v="9260"/>
    <n v="4"/>
    <n v="17"/>
    <x v="0"/>
    <n v="4"/>
    <n v="80"/>
    <n v="1"/>
    <n v="8"/>
    <n v="3"/>
    <n v="2"/>
    <n v="2"/>
    <n v="2"/>
    <n v="0"/>
  </r>
  <r>
    <s v="No"/>
    <s v="Non-Travel"/>
    <x v="0"/>
    <s v="Current Employees"/>
    <x v="0"/>
    <x v="2"/>
    <s v="STAFF-592"/>
    <n v="592"/>
    <x v="1"/>
    <x v="0"/>
    <x v="0"/>
    <s v="No"/>
    <s v="Y"/>
    <n v="3"/>
    <n v="-2"/>
    <n v="0"/>
    <n v="36"/>
    <n v="0"/>
    <m/>
    <n v="0"/>
    <n v="1"/>
    <n v="635"/>
    <n v="10"/>
    <x v="2"/>
    <n v="1"/>
    <n v="2"/>
    <n v="32"/>
    <n v="3"/>
    <n v="3"/>
    <n v="4"/>
    <n v="9980"/>
    <n v="15318"/>
    <n v="1"/>
    <n v="14"/>
    <x v="0"/>
    <n v="4"/>
    <n v="80"/>
    <n v="0"/>
    <n v="10"/>
    <n v="2"/>
    <n v="10"/>
    <n v="3"/>
    <n v="9"/>
    <n v="7"/>
  </r>
  <r>
    <s v="Yes"/>
    <s v="Travel_Frequently"/>
    <x v="4"/>
    <s v="Ex-Employees"/>
    <x v="1"/>
    <x v="4"/>
    <s v="STAFF-593"/>
    <n v="593"/>
    <x v="1"/>
    <x v="2"/>
    <x v="0"/>
    <s v="No"/>
    <s v="Y"/>
    <n v="3"/>
    <n v="-2"/>
    <n v="0"/>
    <n v="22"/>
    <n v="1"/>
    <n v="1"/>
    <n v="1"/>
    <n v="0"/>
    <n v="1368"/>
    <n v="4"/>
    <x v="1"/>
    <n v="1"/>
    <n v="4"/>
    <n v="99"/>
    <n v="2"/>
    <n v="1"/>
    <n v="4"/>
    <n v="3894"/>
    <n v="9129"/>
    <n v="5"/>
    <n v="16"/>
    <x v="0"/>
    <n v="3"/>
    <n v="80"/>
    <n v="0"/>
    <n v="4"/>
    <n v="3"/>
    <n v="2"/>
    <n v="2"/>
    <n v="1"/>
    <n v="2"/>
  </r>
  <r>
    <s v="No"/>
    <s v="Travel_Rarely"/>
    <x v="1"/>
    <s v="Current Employees"/>
    <x v="0"/>
    <x v="3"/>
    <s v="STAFF-595"/>
    <n v="595"/>
    <x v="0"/>
    <x v="0"/>
    <x v="1"/>
    <s v="No"/>
    <s v="Y"/>
    <n v="2"/>
    <n v="-2"/>
    <n v="0"/>
    <n v="48"/>
    <n v="0"/>
    <m/>
    <n v="0"/>
    <n v="1"/>
    <n v="163"/>
    <n v="2"/>
    <x v="4"/>
    <n v="1"/>
    <n v="2"/>
    <n v="37"/>
    <n v="3"/>
    <n v="2"/>
    <n v="1"/>
    <n v="4051"/>
    <n v="19658"/>
    <n v="2"/>
    <n v="14"/>
    <x v="0"/>
    <n v="1"/>
    <n v="80"/>
    <n v="1"/>
    <n v="14"/>
    <n v="3"/>
    <n v="9"/>
    <n v="7"/>
    <n v="6"/>
    <n v="7"/>
  </r>
  <r>
    <s v="No"/>
    <s v="Travel_Rarely"/>
    <x v="3"/>
    <s v="Current Employees"/>
    <x v="0"/>
    <x v="0"/>
    <s v="STAFF-597"/>
    <n v="597"/>
    <x v="0"/>
    <x v="5"/>
    <x v="0"/>
    <s v="No"/>
    <s v="Y"/>
    <n v="2"/>
    <n v="-2"/>
    <n v="0"/>
    <n v="55"/>
    <n v="0"/>
    <m/>
    <n v="0"/>
    <n v="1"/>
    <n v="1117"/>
    <n v="18"/>
    <x v="4"/>
    <n v="1"/>
    <n v="1"/>
    <n v="83"/>
    <n v="3"/>
    <n v="4"/>
    <n v="2"/>
    <n v="16835"/>
    <n v="9873"/>
    <n v="3"/>
    <n v="23"/>
    <x v="1"/>
    <n v="4"/>
    <n v="80"/>
    <n v="0"/>
    <n v="37"/>
    <n v="3"/>
    <n v="10"/>
    <n v="9"/>
    <n v="7"/>
    <n v="7"/>
  </r>
  <r>
    <s v="No"/>
    <s v="Non-Travel"/>
    <x v="0"/>
    <s v="Current Employees"/>
    <x v="0"/>
    <x v="0"/>
    <s v="STAFF-599"/>
    <n v="599"/>
    <x v="1"/>
    <x v="0"/>
    <x v="0"/>
    <s v="No"/>
    <s v="Y"/>
    <n v="3"/>
    <n v="-2"/>
    <n v="0"/>
    <n v="41"/>
    <n v="0"/>
    <m/>
    <n v="0"/>
    <n v="1"/>
    <n v="267"/>
    <n v="10"/>
    <x v="0"/>
    <n v="1"/>
    <n v="4"/>
    <n v="56"/>
    <n v="3"/>
    <n v="2"/>
    <n v="2"/>
    <n v="6230"/>
    <n v="13430"/>
    <n v="7"/>
    <n v="14"/>
    <x v="0"/>
    <n v="4"/>
    <n v="80"/>
    <n v="0"/>
    <n v="16"/>
    <n v="3"/>
    <n v="14"/>
    <n v="3"/>
    <n v="1"/>
    <n v="10"/>
  </r>
  <r>
    <s v="No"/>
    <s v="Travel_Rarely"/>
    <x v="0"/>
    <s v="Current Employees"/>
    <x v="0"/>
    <x v="3"/>
    <s v="STAFF-600"/>
    <n v="600"/>
    <x v="1"/>
    <x v="0"/>
    <x v="1"/>
    <s v="No"/>
    <s v="Y"/>
    <n v="2"/>
    <n v="-2"/>
    <n v="0"/>
    <n v="35"/>
    <n v="0"/>
    <m/>
    <n v="0"/>
    <n v="1"/>
    <n v="619"/>
    <n v="1"/>
    <x v="3"/>
    <n v="1"/>
    <n v="2"/>
    <n v="85"/>
    <n v="3"/>
    <n v="2"/>
    <n v="1"/>
    <n v="4717"/>
    <n v="18659"/>
    <n v="9"/>
    <n v="11"/>
    <x v="0"/>
    <n v="3"/>
    <n v="80"/>
    <n v="0"/>
    <n v="15"/>
    <n v="3"/>
    <n v="11"/>
    <n v="9"/>
    <n v="6"/>
    <n v="9"/>
  </r>
  <r>
    <s v="No"/>
    <s v="Travel_Rarely"/>
    <x v="0"/>
    <s v="Current Employees"/>
    <x v="1"/>
    <x v="0"/>
    <s v="STAFF-601"/>
    <n v="601"/>
    <x v="0"/>
    <x v="3"/>
    <x v="0"/>
    <s v="No"/>
    <s v="Y"/>
    <n v="3"/>
    <n v="-2"/>
    <n v="0"/>
    <n v="40"/>
    <n v="0"/>
    <m/>
    <n v="0"/>
    <n v="1"/>
    <n v="302"/>
    <n v="6"/>
    <x v="3"/>
    <n v="1"/>
    <n v="2"/>
    <n v="75"/>
    <n v="3"/>
    <n v="4"/>
    <n v="2"/>
    <n v="13237"/>
    <n v="20364"/>
    <n v="7"/>
    <n v="15"/>
    <x v="0"/>
    <n v="3"/>
    <n v="80"/>
    <n v="0"/>
    <n v="22"/>
    <n v="3"/>
    <n v="20"/>
    <n v="6"/>
    <n v="5"/>
    <n v="13"/>
  </r>
  <r>
    <s v="No"/>
    <s v="Travel_Frequently"/>
    <x v="0"/>
    <s v="Current Employees"/>
    <x v="1"/>
    <x v="0"/>
    <s v="STAFF-602"/>
    <n v="602"/>
    <x v="0"/>
    <x v="2"/>
    <x v="1"/>
    <s v="No"/>
    <s v="Y"/>
    <n v="3"/>
    <n v="-2"/>
    <n v="0"/>
    <n v="39"/>
    <n v="0"/>
    <m/>
    <n v="0"/>
    <n v="1"/>
    <n v="443"/>
    <n v="8"/>
    <x v="1"/>
    <n v="1"/>
    <n v="3"/>
    <n v="48"/>
    <n v="3"/>
    <n v="1"/>
    <n v="2"/>
    <n v="3755"/>
    <n v="17872"/>
    <n v="1"/>
    <n v="11"/>
    <x v="0"/>
    <n v="1"/>
    <n v="80"/>
    <n v="1"/>
    <n v="8"/>
    <n v="3"/>
    <n v="8"/>
    <n v="3"/>
    <n v="0"/>
    <n v="7"/>
  </r>
  <r>
    <s v="No"/>
    <s v="Travel_Rarely"/>
    <x v="2"/>
    <s v="Current Employees"/>
    <x v="0"/>
    <x v="0"/>
    <s v="STAFF-604"/>
    <n v="604"/>
    <x v="1"/>
    <x v="0"/>
    <x v="0"/>
    <s v="Yes"/>
    <s v="Y"/>
    <n v="2"/>
    <n v="-2"/>
    <n v="0"/>
    <n v="31"/>
    <n v="0"/>
    <m/>
    <n v="0"/>
    <n v="1"/>
    <n v="828"/>
    <n v="2"/>
    <x v="1"/>
    <n v="1"/>
    <n v="2"/>
    <n v="77"/>
    <n v="3"/>
    <n v="2"/>
    <n v="2"/>
    <n v="6582"/>
    <n v="8346"/>
    <n v="4"/>
    <n v="13"/>
    <x v="0"/>
    <n v="3"/>
    <n v="80"/>
    <n v="0"/>
    <n v="10"/>
    <n v="4"/>
    <n v="6"/>
    <n v="5"/>
    <n v="0"/>
    <n v="5"/>
  </r>
  <r>
    <s v="No"/>
    <s v="Travel_Rarely"/>
    <x v="0"/>
    <s v="Current Employees"/>
    <x v="1"/>
    <x v="2"/>
    <s v="STAFF-605"/>
    <n v="605"/>
    <x v="1"/>
    <x v="3"/>
    <x v="1"/>
    <s v="Yes"/>
    <s v="Y"/>
    <n v="5"/>
    <n v="-2"/>
    <n v="0"/>
    <n v="42"/>
    <n v="0"/>
    <m/>
    <n v="0"/>
    <n v="1"/>
    <n v="319"/>
    <n v="24"/>
    <x v="3"/>
    <n v="1"/>
    <n v="4"/>
    <n v="56"/>
    <n v="3"/>
    <n v="3"/>
    <n v="3"/>
    <n v="7406"/>
    <n v="6950"/>
    <n v="1"/>
    <n v="21"/>
    <x v="1"/>
    <n v="4"/>
    <n v="80"/>
    <n v="1"/>
    <n v="10"/>
    <n v="2"/>
    <n v="10"/>
    <n v="9"/>
    <n v="5"/>
    <n v="8"/>
  </r>
  <r>
    <s v="No"/>
    <s v="Travel_Rarely"/>
    <x v="1"/>
    <s v="Current Employees"/>
    <x v="0"/>
    <x v="1"/>
    <s v="STAFF-606"/>
    <n v="606"/>
    <x v="1"/>
    <x v="0"/>
    <x v="1"/>
    <s v="No"/>
    <s v="Y"/>
    <n v="3"/>
    <n v="-2"/>
    <n v="0"/>
    <n v="45"/>
    <n v="0"/>
    <m/>
    <n v="0"/>
    <n v="1"/>
    <n v="561"/>
    <n v="2"/>
    <x v="3"/>
    <n v="1"/>
    <n v="4"/>
    <n v="61"/>
    <n v="3"/>
    <n v="2"/>
    <n v="3"/>
    <n v="4805"/>
    <n v="16177"/>
    <n v="0"/>
    <n v="19"/>
    <x v="0"/>
    <n v="2"/>
    <n v="80"/>
    <n v="1"/>
    <n v="9"/>
    <n v="4"/>
    <n v="8"/>
    <n v="7"/>
    <n v="3"/>
    <n v="7"/>
  </r>
  <r>
    <s v="Yes"/>
    <s v="Travel_Frequently"/>
    <x v="2"/>
    <s v="Ex-Employees"/>
    <x v="2"/>
    <x v="0"/>
    <s v="STAFF-608"/>
    <n v="608"/>
    <x v="0"/>
    <x v="8"/>
    <x v="2"/>
    <s v="Yes"/>
    <s v="Y"/>
    <n v="2"/>
    <n v="-2"/>
    <n v="0"/>
    <n v="26"/>
    <n v="1"/>
    <n v="1"/>
    <n v="1"/>
    <n v="0"/>
    <n v="426"/>
    <n v="17"/>
    <x v="2"/>
    <n v="1"/>
    <n v="2"/>
    <n v="58"/>
    <n v="3"/>
    <n v="1"/>
    <n v="2"/>
    <n v="2741"/>
    <n v="22808"/>
    <n v="0"/>
    <n v="11"/>
    <x v="0"/>
    <n v="2"/>
    <n v="80"/>
    <n v="1"/>
    <n v="8"/>
    <n v="2"/>
    <n v="7"/>
    <n v="7"/>
    <n v="1"/>
    <n v="0"/>
  </r>
  <r>
    <s v="No"/>
    <s v="Travel_Rarely"/>
    <x v="2"/>
    <s v="Current Employees"/>
    <x v="1"/>
    <x v="4"/>
    <s v="STAFF-611"/>
    <n v="611"/>
    <x v="1"/>
    <x v="3"/>
    <x v="2"/>
    <s v="No"/>
    <s v="Y"/>
    <n v="2"/>
    <n v="-2"/>
    <n v="0"/>
    <n v="29"/>
    <n v="0"/>
    <m/>
    <n v="0"/>
    <n v="1"/>
    <n v="232"/>
    <n v="19"/>
    <x v="3"/>
    <n v="1"/>
    <n v="4"/>
    <n v="34"/>
    <n v="3"/>
    <n v="2"/>
    <n v="4"/>
    <n v="4262"/>
    <n v="22645"/>
    <n v="4"/>
    <n v="12"/>
    <x v="0"/>
    <n v="2"/>
    <n v="80"/>
    <n v="2"/>
    <n v="8"/>
    <n v="4"/>
    <n v="3"/>
    <n v="2"/>
    <n v="1"/>
    <n v="2"/>
  </r>
  <r>
    <s v="No"/>
    <s v="Travel_Rarely"/>
    <x v="2"/>
    <s v="Current Employees"/>
    <x v="1"/>
    <x v="2"/>
    <s v="STAFF-612"/>
    <n v="612"/>
    <x v="0"/>
    <x v="7"/>
    <x v="2"/>
    <s v="No"/>
    <s v="Y"/>
    <n v="2"/>
    <n v="-2"/>
    <n v="0"/>
    <n v="33"/>
    <n v="0"/>
    <m/>
    <n v="0"/>
    <n v="1"/>
    <n v="922"/>
    <n v="1"/>
    <x v="4"/>
    <n v="1"/>
    <n v="1"/>
    <n v="95"/>
    <n v="4"/>
    <n v="4"/>
    <n v="3"/>
    <n v="16184"/>
    <n v="22578"/>
    <n v="4"/>
    <n v="19"/>
    <x v="0"/>
    <n v="3"/>
    <n v="80"/>
    <n v="1"/>
    <n v="10"/>
    <n v="3"/>
    <n v="6"/>
    <n v="1"/>
    <n v="0"/>
    <n v="5"/>
  </r>
  <r>
    <s v="No"/>
    <s v="Travel_Rarely"/>
    <x v="2"/>
    <s v="Current Employees"/>
    <x v="0"/>
    <x v="0"/>
    <s v="STAFF-613"/>
    <n v="613"/>
    <x v="1"/>
    <x v="5"/>
    <x v="2"/>
    <s v="No"/>
    <s v="Y"/>
    <n v="3"/>
    <n v="-2"/>
    <n v="0"/>
    <n v="31"/>
    <n v="0"/>
    <m/>
    <n v="0"/>
    <n v="1"/>
    <n v="688"/>
    <n v="7"/>
    <x v="3"/>
    <n v="1"/>
    <n v="3"/>
    <n v="44"/>
    <n v="2"/>
    <n v="3"/>
    <n v="2"/>
    <n v="11557"/>
    <n v="25291"/>
    <n v="9"/>
    <n v="21"/>
    <x v="1"/>
    <n v="3"/>
    <n v="80"/>
    <n v="1"/>
    <n v="10"/>
    <n v="2"/>
    <n v="5"/>
    <n v="4"/>
    <n v="0"/>
    <n v="1"/>
  </r>
  <r>
    <s v="Yes"/>
    <s v="Travel_Frequently"/>
    <x v="4"/>
    <s v="Ex-Employees"/>
    <x v="0"/>
    <x v="3"/>
    <s v="STAFF-614"/>
    <n v="614"/>
    <x v="1"/>
    <x v="6"/>
    <x v="0"/>
    <s v="Yes"/>
    <s v="Y"/>
    <n v="3"/>
    <n v="-2"/>
    <n v="0"/>
    <n v="18"/>
    <n v="1"/>
    <n v="1"/>
    <n v="1"/>
    <n v="0"/>
    <n v="1306"/>
    <n v="5"/>
    <x v="3"/>
    <n v="1"/>
    <n v="2"/>
    <n v="69"/>
    <n v="3"/>
    <n v="1"/>
    <n v="1"/>
    <n v="1878"/>
    <n v="8059"/>
    <n v="1"/>
    <n v="14"/>
    <x v="0"/>
    <n v="4"/>
    <n v="80"/>
    <n v="0"/>
    <n v="0"/>
    <n v="3"/>
    <n v="0"/>
    <n v="0"/>
    <n v="0"/>
    <n v="0"/>
  </r>
  <r>
    <s v="No"/>
    <s v="Non-Travel"/>
    <x v="0"/>
    <s v="Current Employees"/>
    <x v="0"/>
    <x v="1"/>
    <s v="STAFF-615"/>
    <n v="615"/>
    <x v="1"/>
    <x v="0"/>
    <x v="2"/>
    <s v="No"/>
    <s v="Y"/>
    <n v="2"/>
    <n v="-2"/>
    <n v="0"/>
    <n v="40"/>
    <n v="0"/>
    <m/>
    <n v="0"/>
    <n v="1"/>
    <n v="1094"/>
    <n v="28"/>
    <x v="3"/>
    <n v="1"/>
    <n v="3"/>
    <n v="58"/>
    <n v="1"/>
    <n v="3"/>
    <n v="3"/>
    <n v="10932"/>
    <n v="11373"/>
    <n v="3"/>
    <n v="15"/>
    <x v="0"/>
    <n v="3"/>
    <n v="80"/>
    <n v="1"/>
    <n v="20"/>
    <n v="3"/>
    <n v="1"/>
    <n v="0"/>
    <n v="0"/>
    <n v="1"/>
  </r>
  <r>
    <s v="No"/>
    <s v="Non-Travel"/>
    <x v="0"/>
    <s v="Current Employees"/>
    <x v="1"/>
    <x v="1"/>
    <s v="STAFF-616"/>
    <n v="616"/>
    <x v="0"/>
    <x v="4"/>
    <x v="0"/>
    <s v="Yes"/>
    <s v="Y"/>
    <n v="3"/>
    <n v="-2"/>
    <n v="0"/>
    <n v="41"/>
    <n v="0"/>
    <m/>
    <n v="0"/>
    <n v="1"/>
    <n v="509"/>
    <n v="2"/>
    <x v="2"/>
    <n v="1"/>
    <n v="1"/>
    <n v="62"/>
    <n v="2"/>
    <n v="2"/>
    <n v="3"/>
    <n v="6811"/>
    <n v="2112"/>
    <n v="2"/>
    <n v="17"/>
    <x v="0"/>
    <n v="1"/>
    <n v="80"/>
    <n v="0"/>
    <n v="10"/>
    <n v="3"/>
    <n v="8"/>
    <n v="7"/>
    <n v="0"/>
    <n v="7"/>
  </r>
  <r>
    <s v="No"/>
    <s v="Travel_Rarely"/>
    <x v="2"/>
    <s v="Current Employees"/>
    <x v="0"/>
    <x v="2"/>
    <s v="STAFF-618"/>
    <n v="618"/>
    <x v="1"/>
    <x v="0"/>
    <x v="2"/>
    <s v="No"/>
    <s v="Y"/>
    <n v="5"/>
    <n v="-2"/>
    <n v="0"/>
    <n v="26"/>
    <n v="0"/>
    <m/>
    <n v="0"/>
    <n v="1"/>
    <n v="775"/>
    <n v="29"/>
    <x v="0"/>
    <n v="1"/>
    <n v="1"/>
    <n v="45"/>
    <n v="3"/>
    <n v="2"/>
    <n v="3"/>
    <n v="4306"/>
    <n v="4267"/>
    <n v="5"/>
    <n v="12"/>
    <x v="0"/>
    <n v="1"/>
    <n v="80"/>
    <n v="2"/>
    <n v="8"/>
    <n v="3"/>
    <n v="0"/>
    <n v="0"/>
    <n v="0"/>
    <n v="0"/>
  </r>
  <r>
    <s v="No"/>
    <s v="Travel_Rarely"/>
    <x v="0"/>
    <s v="Current Employees"/>
    <x v="0"/>
    <x v="2"/>
    <s v="STAFF-620"/>
    <n v="620"/>
    <x v="0"/>
    <x v="0"/>
    <x v="0"/>
    <s v="No"/>
    <s v="Y"/>
    <n v="3"/>
    <n v="-2"/>
    <n v="0"/>
    <n v="35"/>
    <n v="0"/>
    <m/>
    <n v="0"/>
    <n v="1"/>
    <n v="195"/>
    <n v="1"/>
    <x v="3"/>
    <n v="1"/>
    <n v="1"/>
    <n v="80"/>
    <n v="3"/>
    <n v="2"/>
    <n v="3"/>
    <n v="4859"/>
    <n v="6698"/>
    <n v="1"/>
    <n v="16"/>
    <x v="0"/>
    <n v="4"/>
    <n v="80"/>
    <n v="0"/>
    <n v="5"/>
    <n v="3"/>
    <n v="5"/>
    <n v="4"/>
    <n v="0"/>
    <n v="3"/>
  </r>
  <r>
    <s v="No"/>
    <s v="Travel_Rarely"/>
    <x v="2"/>
    <s v="Current Employees"/>
    <x v="0"/>
    <x v="0"/>
    <s v="STAFF-621"/>
    <n v="621"/>
    <x v="1"/>
    <x v="0"/>
    <x v="0"/>
    <s v="No"/>
    <s v="Y"/>
    <n v="3"/>
    <n v="-2"/>
    <n v="0"/>
    <n v="34"/>
    <n v="0"/>
    <m/>
    <n v="0"/>
    <n v="1"/>
    <n v="258"/>
    <n v="21"/>
    <x v="2"/>
    <n v="1"/>
    <n v="4"/>
    <n v="74"/>
    <n v="4"/>
    <n v="2"/>
    <n v="2"/>
    <n v="5337"/>
    <n v="19921"/>
    <n v="1"/>
    <n v="12"/>
    <x v="0"/>
    <n v="4"/>
    <n v="80"/>
    <n v="0"/>
    <n v="10"/>
    <n v="3"/>
    <n v="10"/>
    <n v="7"/>
    <n v="5"/>
    <n v="7"/>
  </r>
  <r>
    <s v="Yes"/>
    <s v="Travel_Rarely"/>
    <x v="2"/>
    <s v="Ex-Employees"/>
    <x v="1"/>
    <x v="4"/>
    <s v="STAFF-622"/>
    <n v="622"/>
    <x v="1"/>
    <x v="2"/>
    <x v="0"/>
    <s v="Yes"/>
    <s v="Y"/>
    <n v="3"/>
    <n v="-2"/>
    <n v="0"/>
    <n v="26"/>
    <n v="1"/>
    <n v="1"/>
    <n v="1"/>
    <n v="0"/>
    <n v="471"/>
    <n v="24"/>
    <x v="3"/>
    <n v="1"/>
    <n v="4"/>
    <n v="66"/>
    <n v="1"/>
    <n v="1"/>
    <n v="4"/>
    <n v="2340"/>
    <n v="23213"/>
    <n v="1"/>
    <n v="18"/>
    <x v="0"/>
    <n v="2"/>
    <n v="80"/>
    <n v="0"/>
    <n v="1"/>
    <n v="1"/>
    <n v="1"/>
    <n v="0"/>
    <n v="0"/>
    <n v="0"/>
  </r>
  <r>
    <s v="No"/>
    <s v="Travel_Rarely"/>
    <x v="0"/>
    <s v="Current Employees"/>
    <x v="1"/>
    <x v="4"/>
    <s v="STAFF-623"/>
    <n v="623"/>
    <x v="0"/>
    <x v="3"/>
    <x v="0"/>
    <s v="No"/>
    <s v="Y"/>
    <n v="3"/>
    <n v="-2"/>
    <n v="0"/>
    <n v="37"/>
    <n v="0"/>
    <m/>
    <n v="0"/>
    <n v="1"/>
    <n v="799"/>
    <n v="1"/>
    <x v="3"/>
    <n v="1"/>
    <n v="4"/>
    <n v="59"/>
    <n v="3"/>
    <n v="3"/>
    <n v="4"/>
    <n v="7491"/>
    <n v="23848"/>
    <n v="4"/>
    <n v="17"/>
    <x v="0"/>
    <n v="4"/>
    <n v="80"/>
    <n v="0"/>
    <n v="12"/>
    <n v="4"/>
    <n v="6"/>
    <n v="5"/>
    <n v="1"/>
    <n v="2"/>
  </r>
  <r>
    <s v="No"/>
    <s v="Travel_Frequently"/>
    <x v="1"/>
    <s v="Current Employees"/>
    <x v="1"/>
    <x v="2"/>
    <s v="STAFF-624"/>
    <n v="624"/>
    <x v="0"/>
    <x v="4"/>
    <x v="1"/>
    <s v="No"/>
    <s v="Y"/>
    <n v="3"/>
    <n v="-2"/>
    <n v="0"/>
    <n v="46"/>
    <n v="0"/>
    <m/>
    <n v="0"/>
    <n v="1"/>
    <n v="1034"/>
    <n v="18"/>
    <x v="1"/>
    <n v="1"/>
    <n v="1"/>
    <n v="86"/>
    <n v="3"/>
    <n v="3"/>
    <n v="3"/>
    <n v="10527"/>
    <n v="8984"/>
    <n v="5"/>
    <n v="11"/>
    <x v="0"/>
    <n v="4"/>
    <n v="80"/>
    <n v="0"/>
    <n v="28"/>
    <n v="2"/>
    <n v="2"/>
    <n v="2"/>
    <n v="1"/>
    <n v="2"/>
  </r>
  <r>
    <s v="No"/>
    <s v="Travel_Rarely"/>
    <x v="0"/>
    <s v="Current Employees"/>
    <x v="0"/>
    <x v="0"/>
    <s v="STAFF-625"/>
    <n v="625"/>
    <x v="0"/>
    <x v="5"/>
    <x v="1"/>
    <s v="No"/>
    <s v="Y"/>
    <n v="2"/>
    <n v="-2"/>
    <n v="0"/>
    <n v="41"/>
    <n v="0"/>
    <m/>
    <n v="0"/>
    <n v="1"/>
    <n v="1276"/>
    <n v="2"/>
    <x v="4"/>
    <n v="1"/>
    <n v="2"/>
    <n v="91"/>
    <n v="3"/>
    <n v="4"/>
    <n v="2"/>
    <n v="16595"/>
    <n v="5626"/>
    <n v="7"/>
    <n v="16"/>
    <x v="0"/>
    <n v="2"/>
    <n v="80"/>
    <n v="1"/>
    <n v="22"/>
    <n v="3"/>
    <n v="18"/>
    <n v="16"/>
    <n v="11"/>
    <n v="8"/>
  </r>
  <r>
    <s v="No"/>
    <s v="Non-Travel"/>
    <x v="0"/>
    <s v="Current Employees"/>
    <x v="0"/>
    <x v="2"/>
    <s v="STAFF-626"/>
    <n v="626"/>
    <x v="1"/>
    <x v="0"/>
    <x v="2"/>
    <s v="No"/>
    <s v="Y"/>
    <n v="6"/>
    <n v="-2"/>
    <n v="0"/>
    <n v="37"/>
    <n v="0"/>
    <m/>
    <n v="0"/>
    <n v="1"/>
    <n v="142"/>
    <n v="9"/>
    <x v="2"/>
    <n v="1"/>
    <n v="1"/>
    <n v="69"/>
    <n v="3"/>
    <n v="3"/>
    <n v="3"/>
    <n v="8834"/>
    <n v="24666"/>
    <n v="1"/>
    <n v="13"/>
    <x v="0"/>
    <n v="4"/>
    <n v="80"/>
    <n v="1"/>
    <n v="9"/>
    <n v="3"/>
    <n v="9"/>
    <n v="5"/>
    <n v="7"/>
    <n v="7"/>
  </r>
  <r>
    <s v="No"/>
    <s v="Travel_Rarely"/>
    <x v="1"/>
    <s v="Current Employees"/>
    <x v="1"/>
    <x v="4"/>
    <s v="STAFF-630"/>
    <n v="630"/>
    <x v="1"/>
    <x v="1"/>
    <x v="2"/>
    <s v="Yes"/>
    <s v="Y"/>
    <n v="3"/>
    <n v="-2"/>
    <n v="0"/>
    <n v="52"/>
    <n v="0"/>
    <m/>
    <n v="0"/>
    <n v="1"/>
    <n v="956"/>
    <n v="6"/>
    <x v="0"/>
    <n v="1"/>
    <n v="4"/>
    <n v="78"/>
    <n v="3"/>
    <n v="2"/>
    <n v="4"/>
    <n v="5577"/>
    <n v="22087"/>
    <n v="3"/>
    <n v="12"/>
    <x v="0"/>
    <n v="2"/>
    <n v="80"/>
    <n v="2"/>
    <n v="18"/>
    <n v="3"/>
    <n v="10"/>
    <n v="9"/>
    <n v="6"/>
    <n v="9"/>
  </r>
  <r>
    <s v="Yes"/>
    <s v="Non-Travel"/>
    <x v="2"/>
    <s v="Ex-Employees"/>
    <x v="0"/>
    <x v="1"/>
    <s v="STAFF-631"/>
    <n v="631"/>
    <x v="1"/>
    <x v="0"/>
    <x v="1"/>
    <s v="No"/>
    <s v="Y"/>
    <n v="2"/>
    <n v="-2"/>
    <n v="0"/>
    <n v="32"/>
    <n v="1"/>
    <n v="1"/>
    <n v="1"/>
    <n v="0"/>
    <n v="1474"/>
    <n v="11"/>
    <x v="2"/>
    <n v="1"/>
    <n v="4"/>
    <n v="60"/>
    <n v="4"/>
    <n v="2"/>
    <n v="3"/>
    <n v="4707"/>
    <n v="23914"/>
    <n v="8"/>
    <n v="12"/>
    <x v="0"/>
    <n v="4"/>
    <n v="80"/>
    <n v="0"/>
    <n v="6"/>
    <n v="3"/>
    <n v="4"/>
    <n v="2"/>
    <n v="1"/>
    <n v="2"/>
  </r>
  <r>
    <s v="No"/>
    <s v="Travel_Frequently"/>
    <x v="4"/>
    <s v="Current Employees"/>
    <x v="0"/>
    <x v="2"/>
    <s v="STAFF-632"/>
    <n v="632"/>
    <x v="1"/>
    <x v="6"/>
    <x v="1"/>
    <s v="No"/>
    <s v="Y"/>
    <n v="3"/>
    <n v="-2"/>
    <n v="0"/>
    <n v="24"/>
    <n v="0"/>
    <m/>
    <n v="0"/>
    <n v="1"/>
    <n v="535"/>
    <n v="24"/>
    <x v="3"/>
    <n v="1"/>
    <n v="4"/>
    <n v="38"/>
    <n v="3"/>
    <n v="1"/>
    <n v="4"/>
    <n v="2400"/>
    <n v="5530"/>
    <n v="0"/>
    <n v="13"/>
    <x v="0"/>
    <n v="3"/>
    <n v="80"/>
    <n v="2"/>
    <n v="3"/>
    <n v="3"/>
    <n v="2"/>
    <n v="2"/>
    <n v="2"/>
    <n v="1"/>
  </r>
  <r>
    <s v="No"/>
    <s v="Travel_Rarely"/>
    <x v="0"/>
    <s v="Current Employees"/>
    <x v="1"/>
    <x v="2"/>
    <s v="STAFF-634"/>
    <n v="634"/>
    <x v="0"/>
    <x v="4"/>
    <x v="1"/>
    <s v="No"/>
    <s v="Y"/>
    <n v="4"/>
    <n v="-2"/>
    <n v="0"/>
    <n v="38"/>
    <n v="0"/>
    <m/>
    <n v="0"/>
    <n v="1"/>
    <n v="1495"/>
    <n v="10"/>
    <x v="3"/>
    <n v="1"/>
    <n v="3"/>
    <n v="76"/>
    <n v="3"/>
    <n v="2"/>
    <n v="3"/>
    <n v="9824"/>
    <n v="22174"/>
    <n v="3"/>
    <n v="19"/>
    <x v="0"/>
    <n v="3"/>
    <n v="80"/>
    <n v="1"/>
    <n v="18"/>
    <n v="3"/>
    <n v="1"/>
    <n v="0"/>
    <n v="0"/>
    <n v="0"/>
  </r>
  <r>
    <s v="No"/>
    <s v="Travel_Rarely"/>
    <x v="0"/>
    <s v="Current Employees"/>
    <x v="1"/>
    <x v="0"/>
    <s v="STAFF-635"/>
    <n v="635"/>
    <x v="0"/>
    <x v="3"/>
    <x v="1"/>
    <s v="No"/>
    <s v="Y"/>
    <n v="2"/>
    <n v="-2"/>
    <n v="0"/>
    <n v="37"/>
    <n v="0"/>
    <m/>
    <n v="0"/>
    <n v="1"/>
    <n v="446"/>
    <n v="1"/>
    <x v="2"/>
    <n v="1"/>
    <n v="2"/>
    <n v="65"/>
    <n v="3"/>
    <n v="2"/>
    <n v="2"/>
    <n v="6447"/>
    <n v="15701"/>
    <n v="6"/>
    <n v="12"/>
    <x v="0"/>
    <n v="2"/>
    <n v="80"/>
    <n v="1"/>
    <n v="8"/>
    <n v="2"/>
    <n v="6"/>
    <n v="5"/>
    <n v="4"/>
    <n v="3"/>
  </r>
  <r>
    <s v="No"/>
    <s v="Travel_Rarely"/>
    <x v="1"/>
    <s v="Current Employees"/>
    <x v="1"/>
    <x v="0"/>
    <s v="STAFF-638"/>
    <n v="638"/>
    <x v="1"/>
    <x v="7"/>
    <x v="2"/>
    <s v="Yes"/>
    <s v="Y"/>
    <n v="5"/>
    <n v="-2"/>
    <n v="0"/>
    <n v="49"/>
    <n v="0"/>
    <m/>
    <n v="0"/>
    <n v="1"/>
    <n v="1245"/>
    <n v="18"/>
    <x v="2"/>
    <n v="1"/>
    <n v="4"/>
    <n v="58"/>
    <n v="2"/>
    <n v="5"/>
    <n v="2"/>
    <n v="19502"/>
    <n v="2125"/>
    <n v="1"/>
    <n v="17"/>
    <x v="0"/>
    <n v="3"/>
    <n v="80"/>
    <n v="1"/>
    <n v="31"/>
    <n v="3"/>
    <n v="31"/>
    <n v="9"/>
    <n v="0"/>
    <n v="9"/>
  </r>
  <r>
    <s v="No"/>
    <s v="Travel_Rarely"/>
    <x v="4"/>
    <s v="Current Employees"/>
    <x v="1"/>
    <x v="2"/>
    <s v="STAFF-639"/>
    <n v="639"/>
    <x v="1"/>
    <x v="1"/>
    <x v="1"/>
    <s v="Yes"/>
    <s v="Y"/>
    <n v="3"/>
    <n v="-2"/>
    <n v="0"/>
    <n v="24"/>
    <n v="0"/>
    <m/>
    <n v="0"/>
    <n v="1"/>
    <n v="691"/>
    <n v="23"/>
    <x v="3"/>
    <n v="1"/>
    <n v="2"/>
    <n v="89"/>
    <n v="4"/>
    <n v="1"/>
    <n v="4"/>
    <n v="2725"/>
    <n v="21630"/>
    <n v="1"/>
    <n v="11"/>
    <x v="0"/>
    <n v="2"/>
    <n v="80"/>
    <n v="2"/>
    <n v="6"/>
    <n v="3"/>
    <n v="6"/>
    <n v="5"/>
    <n v="1"/>
    <n v="4"/>
  </r>
  <r>
    <s v="No"/>
    <s v="Travel_Rarely"/>
    <x v="2"/>
    <s v="Current Employees"/>
    <x v="0"/>
    <x v="3"/>
    <s v="STAFF-641"/>
    <n v="641"/>
    <x v="1"/>
    <x v="0"/>
    <x v="1"/>
    <s v="No"/>
    <s v="Y"/>
    <n v="5"/>
    <n v="-2"/>
    <n v="0"/>
    <n v="26"/>
    <n v="0"/>
    <m/>
    <n v="0"/>
    <n v="1"/>
    <n v="703"/>
    <n v="28"/>
    <x v="0"/>
    <n v="1"/>
    <n v="1"/>
    <n v="66"/>
    <n v="3"/>
    <n v="2"/>
    <n v="1"/>
    <n v="6272"/>
    <n v="7428"/>
    <n v="1"/>
    <n v="20"/>
    <x v="1"/>
    <n v="4"/>
    <n v="80"/>
    <n v="2"/>
    <n v="6"/>
    <n v="4"/>
    <n v="5"/>
    <n v="3"/>
    <n v="1"/>
    <n v="4"/>
  </r>
  <r>
    <s v="No"/>
    <s v="Travel_Rarely"/>
    <x v="4"/>
    <s v="Current Employees"/>
    <x v="1"/>
    <x v="1"/>
    <s v="STAFF-643"/>
    <n v="643"/>
    <x v="1"/>
    <x v="2"/>
    <x v="1"/>
    <s v="No"/>
    <s v="Y"/>
    <n v="2"/>
    <n v="-2"/>
    <n v="0"/>
    <n v="24"/>
    <n v="0"/>
    <m/>
    <n v="0"/>
    <n v="1"/>
    <n v="823"/>
    <n v="17"/>
    <x v="0"/>
    <n v="1"/>
    <n v="4"/>
    <n v="94"/>
    <n v="2"/>
    <n v="1"/>
    <n v="3"/>
    <n v="2127"/>
    <n v="9100"/>
    <n v="1"/>
    <n v="21"/>
    <x v="1"/>
    <n v="4"/>
    <n v="80"/>
    <n v="1"/>
    <n v="1"/>
    <n v="3"/>
    <n v="1"/>
    <n v="0"/>
    <n v="0"/>
    <n v="0"/>
  </r>
  <r>
    <s v="No"/>
    <s v="Travel_Frequently"/>
    <x v="1"/>
    <s v="Current Employees"/>
    <x v="2"/>
    <x v="2"/>
    <s v="STAFF-644"/>
    <n v="644"/>
    <x v="1"/>
    <x v="5"/>
    <x v="1"/>
    <s v="No"/>
    <s v="Y"/>
    <n v="2"/>
    <n v="-2"/>
    <n v="0"/>
    <n v="50"/>
    <n v="0"/>
    <m/>
    <n v="0"/>
    <n v="1"/>
    <n v="1246"/>
    <n v="3"/>
    <x v="3"/>
    <n v="1"/>
    <n v="1"/>
    <n v="99"/>
    <n v="3"/>
    <n v="5"/>
    <n v="3"/>
    <n v="18200"/>
    <n v="7999"/>
    <n v="1"/>
    <n v="11"/>
    <x v="0"/>
    <n v="3"/>
    <n v="80"/>
    <n v="1"/>
    <n v="32"/>
    <n v="3"/>
    <n v="32"/>
    <n v="5"/>
    <n v="10"/>
    <n v="7"/>
  </r>
  <r>
    <s v="No"/>
    <s v="Travel_Rarely"/>
    <x v="2"/>
    <s v="Current Employees"/>
    <x v="0"/>
    <x v="2"/>
    <s v="STAFF-645"/>
    <n v="645"/>
    <x v="1"/>
    <x v="6"/>
    <x v="1"/>
    <s v="No"/>
    <s v="Y"/>
    <n v="1"/>
    <n v="-2"/>
    <n v="0"/>
    <n v="25"/>
    <n v="0"/>
    <m/>
    <n v="0"/>
    <n v="1"/>
    <n v="622"/>
    <n v="13"/>
    <x v="1"/>
    <n v="1"/>
    <n v="2"/>
    <n v="40"/>
    <n v="3"/>
    <n v="1"/>
    <n v="3"/>
    <n v="2096"/>
    <n v="26376"/>
    <n v="1"/>
    <n v="11"/>
    <x v="0"/>
    <n v="3"/>
    <n v="80"/>
    <n v="0"/>
    <n v="7"/>
    <n v="3"/>
    <n v="7"/>
    <n v="4"/>
    <n v="0"/>
    <n v="6"/>
  </r>
  <r>
    <s v="Yes"/>
    <s v="Travel_Frequently"/>
    <x v="4"/>
    <s v="Ex-Employees"/>
    <x v="1"/>
    <x v="0"/>
    <s v="STAFF-647"/>
    <n v="647"/>
    <x v="0"/>
    <x v="2"/>
    <x v="1"/>
    <s v="Yes"/>
    <s v="Y"/>
    <n v="4"/>
    <n v="-2"/>
    <n v="0"/>
    <n v="24"/>
    <n v="1"/>
    <n v="1"/>
    <n v="1"/>
    <n v="0"/>
    <n v="1287"/>
    <n v="7"/>
    <x v="3"/>
    <n v="1"/>
    <n v="1"/>
    <n v="55"/>
    <n v="3"/>
    <n v="1"/>
    <n v="2"/>
    <n v="2886"/>
    <n v="14168"/>
    <n v="1"/>
    <n v="16"/>
    <x v="0"/>
    <n v="4"/>
    <n v="80"/>
    <n v="1"/>
    <n v="6"/>
    <n v="3"/>
    <n v="6"/>
    <n v="3"/>
    <n v="1"/>
    <n v="2"/>
  </r>
  <r>
    <s v="Yes"/>
    <s v="Travel_Frequently"/>
    <x v="2"/>
    <s v="Ex-Employees"/>
    <x v="0"/>
    <x v="0"/>
    <s v="STAFF-648"/>
    <n v="648"/>
    <x v="1"/>
    <x v="6"/>
    <x v="1"/>
    <s v="No"/>
    <s v="Y"/>
    <n v="2"/>
    <n v="-2"/>
    <n v="0"/>
    <n v="30"/>
    <n v="1"/>
    <n v="1"/>
    <n v="1"/>
    <n v="0"/>
    <n v="448"/>
    <n v="12"/>
    <x v="2"/>
    <n v="1"/>
    <n v="2"/>
    <n v="74"/>
    <n v="2"/>
    <n v="1"/>
    <n v="2"/>
    <n v="2033"/>
    <n v="14470"/>
    <n v="1"/>
    <n v="18"/>
    <x v="0"/>
    <n v="3"/>
    <n v="80"/>
    <n v="1"/>
    <n v="1"/>
    <n v="4"/>
    <n v="1"/>
    <n v="0"/>
    <n v="0"/>
    <n v="0"/>
  </r>
  <r>
    <s v="No"/>
    <s v="Travel_Rarely"/>
    <x v="2"/>
    <s v="Current Employees"/>
    <x v="1"/>
    <x v="0"/>
    <s v="STAFF-649"/>
    <n v="649"/>
    <x v="1"/>
    <x v="1"/>
    <x v="1"/>
    <s v="Yes"/>
    <s v="Y"/>
    <n v="3"/>
    <n v="-2"/>
    <n v="0"/>
    <n v="34"/>
    <n v="0"/>
    <m/>
    <n v="0"/>
    <n v="1"/>
    <n v="254"/>
    <n v="1"/>
    <x v="0"/>
    <n v="1"/>
    <n v="2"/>
    <n v="83"/>
    <n v="2"/>
    <n v="1"/>
    <n v="2"/>
    <n v="3622"/>
    <n v="22794"/>
    <n v="1"/>
    <n v="13"/>
    <x v="0"/>
    <n v="4"/>
    <n v="80"/>
    <n v="1"/>
    <n v="6"/>
    <n v="3"/>
    <n v="6"/>
    <n v="5"/>
    <n v="1"/>
    <n v="3"/>
  </r>
  <r>
    <s v="Yes"/>
    <s v="Travel_Rarely"/>
    <x v="2"/>
    <s v="Ex-Employees"/>
    <x v="0"/>
    <x v="2"/>
    <s v="STAFF-650"/>
    <n v="650"/>
    <x v="1"/>
    <x v="0"/>
    <x v="2"/>
    <s v="No"/>
    <s v="Y"/>
    <n v="2"/>
    <n v="-2"/>
    <n v="0"/>
    <n v="31"/>
    <n v="1"/>
    <n v="1"/>
    <n v="1"/>
    <n v="0"/>
    <n v="1365"/>
    <n v="13"/>
    <x v="2"/>
    <n v="1"/>
    <n v="2"/>
    <n v="46"/>
    <n v="3"/>
    <n v="2"/>
    <n v="3"/>
    <n v="4233"/>
    <n v="11512"/>
    <n v="2"/>
    <n v="17"/>
    <x v="0"/>
    <n v="3"/>
    <n v="80"/>
    <n v="0"/>
    <n v="9"/>
    <n v="1"/>
    <n v="3"/>
    <n v="1"/>
    <n v="1"/>
    <n v="2"/>
  </r>
  <r>
    <s v="No"/>
    <s v="Travel_Rarely"/>
    <x v="0"/>
    <s v="Current Employees"/>
    <x v="1"/>
    <x v="1"/>
    <s v="STAFF-652"/>
    <n v="652"/>
    <x v="1"/>
    <x v="2"/>
    <x v="0"/>
    <s v="No"/>
    <s v="Y"/>
    <n v="3"/>
    <n v="-2"/>
    <n v="0"/>
    <n v="35"/>
    <n v="0"/>
    <m/>
    <n v="0"/>
    <n v="1"/>
    <n v="538"/>
    <n v="25"/>
    <x v="0"/>
    <n v="1"/>
    <n v="1"/>
    <n v="54"/>
    <n v="2"/>
    <n v="2"/>
    <n v="4"/>
    <n v="3681"/>
    <n v="14004"/>
    <n v="4"/>
    <n v="14"/>
    <x v="0"/>
    <n v="4"/>
    <n v="80"/>
    <n v="0"/>
    <n v="9"/>
    <n v="3"/>
    <n v="3"/>
    <n v="2"/>
    <n v="0"/>
    <n v="2"/>
  </r>
  <r>
    <s v="No"/>
    <s v="Travel_Rarely"/>
    <x v="2"/>
    <s v="Current Employees"/>
    <x v="0"/>
    <x v="2"/>
    <s v="STAFF-653"/>
    <n v="653"/>
    <x v="1"/>
    <x v="0"/>
    <x v="2"/>
    <s v="No"/>
    <s v="Y"/>
    <n v="4"/>
    <n v="-2"/>
    <n v="0"/>
    <n v="31"/>
    <n v="0"/>
    <m/>
    <n v="0"/>
    <n v="1"/>
    <n v="525"/>
    <n v="6"/>
    <x v="2"/>
    <n v="1"/>
    <n v="1"/>
    <n v="66"/>
    <n v="4"/>
    <n v="2"/>
    <n v="4"/>
    <n v="5460"/>
    <n v="6219"/>
    <n v="4"/>
    <n v="22"/>
    <x v="1"/>
    <n v="4"/>
    <n v="80"/>
    <n v="2"/>
    <n v="13"/>
    <n v="4"/>
    <n v="7"/>
    <n v="7"/>
    <n v="5"/>
    <n v="7"/>
  </r>
  <r>
    <s v="No"/>
    <s v="Travel_Rarely"/>
    <x v="2"/>
    <s v="Current Employees"/>
    <x v="1"/>
    <x v="2"/>
    <s v="STAFF-655"/>
    <n v="655"/>
    <x v="0"/>
    <x v="1"/>
    <x v="2"/>
    <s v="No"/>
    <s v="Y"/>
    <n v="5"/>
    <n v="-2"/>
    <n v="0"/>
    <n v="27"/>
    <n v="0"/>
    <m/>
    <n v="0"/>
    <n v="1"/>
    <n v="798"/>
    <n v="6"/>
    <x v="2"/>
    <n v="1"/>
    <n v="1"/>
    <n v="66"/>
    <n v="2"/>
    <n v="1"/>
    <n v="3"/>
    <n v="2187"/>
    <n v="5013"/>
    <n v="0"/>
    <n v="12"/>
    <x v="0"/>
    <n v="3"/>
    <n v="80"/>
    <n v="2"/>
    <n v="6"/>
    <n v="2"/>
    <n v="5"/>
    <n v="3"/>
    <n v="0"/>
    <n v="3"/>
  </r>
  <r>
    <s v="No"/>
    <s v="Travel_Rarely"/>
    <x v="0"/>
    <s v="Current Employees"/>
    <x v="0"/>
    <x v="3"/>
    <s v="STAFF-656"/>
    <n v="656"/>
    <x v="1"/>
    <x v="0"/>
    <x v="1"/>
    <s v="Yes"/>
    <s v="Y"/>
    <n v="3"/>
    <n v="-2"/>
    <n v="0"/>
    <n v="37"/>
    <n v="0"/>
    <m/>
    <n v="0"/>
    <n v="1"/>
    <n v="558"/>
    <n v="2"/>
    <x v="3"/>
    <n v="1"/>
    <n v="4"/>
    <n v="75"/>
    <n v="3"/>
    <n v="2"/>
    <n v="1"/>
    <n v="9602"/>
    <n v="3010"/>
    <n v="4"/>
    <n v="11"/>
    <x v="0"/>
    <n v="3"/>
    <n v="80"/>
    <n v="1"/>
    <n v="17"/>
    <n v="2"/>
    <n v="3"/>
    <n v="0"/>
    <n v="1"/>
    <n v="0"/>
  </r>
  <r>
    <s v="No"/>
    <s v="Travel_Rarely"/>
    <x v="4"/>
    <s v="Current Employees"/>
    <x v="1"/>
    <x v="0"/>
    <s v="STAFF-657"/>
    <n v="657"/>
    <x v="0"/>
    <x v="1"/>
    <x v="0"/>
    <s v="No"/>
    <s v="Y"/>
    <n v="0"/>
    <n v="-2"/>
    <n v="0"/>
    <n v="20"/>
    <n v="0"/>
    <m/>
    <n v="0"/>
    <n v="1"/>
    <n v="959"/>
    <n v="1"/>
    <x v="3"/>
    <n v="1"/>
    <n v="4"/>
    <n v="83"/>
    <n v="2"/>
    <n v="1"/>
    <n v="2"/>
    <n v="2836"/>
    <n v="11757"/>
    <n v="1"/>
    <n v="13"/>
    <x v="0"/>
    <n v="4"/>
    <n v="80"/>
    <n v="0"/>
    <n v="1"/>
    <n v="4"/>
    <n v="1"/>
    <n v="0"/>
    <n v="0"/>
    <n v="0"/>
  </r>
  <r>
    <s v="No"/>
    <s v="Travel_Rarely"/>
    <x v="0"/>
    <s v="Current Employees"/>
    <x v="1"/>
    <x v="0"/>
    <s v="STAFF-659"/>
    <n v="659"/>
    <x v="0"/>
    <x v="4"/>
    <x v="1"/>
    <s v="No"/>
    <s v="Y"/>
    <n v="4"/>
    <n v="-2"/>
    <n v="0"/>
    <n v="42"/>
    <n v="0"/>
    <m/>
    <n v="0"/>
    <n v="1"/>
    <n v="622"/>
    <n v="2"/>
    <x v="2"/>
    <n v="1"/>
    <n v="3"/>
    <n v="81"/>
    <n v="3"/>
    <n v="2"/>
    <n v="2"/>
    <n v="4089"/>
    <n v="5718"/>
    <n v="1"/>
    <n v="13"/>
    <x v="0"/>
    <n v="2"/>
    <n v="80"/>
    <n v="2"/>
    <n v="10"/>
    <n v="3"/>
    <n v="10"/>
    <n v="2"/>
    <n v="2"/>
    <n v="2"/>
  </r>
  <r>
    <s v="No"/>
    <s v="Travel_Rarely"/>
    <x v="0"/>
    <s v="Current Employees"/>
    <x v="1"/>
    <x v="1"/>
    <s v="STAFF-661"/>
    <n v="661"/>
    <x v="1"/>
    <x v="7"/>
    <x v="2"/>
    <s v="Yes"/>
    <s v="Y"/>
    <n v="3"/>
    <n v="-2"/>
    <n v="0"/>
    <n v="43"/>
    <n v="0"/>
    <m/>
    <n v="0"/>
    <n v="1"/>
    <n v="782"/>
    <n v="6"/>
    <x v="2"/>
    <n v="1"/>
    <n v="2"/>
    <n v="50"/>
    <n v="2"/>
    <n v="4"/>
    <n v="4"/>
    <n v="16627"/>
    <n v="2671"/>
    <n v="4"/>
    <n v="14"/>
    <x v="0"/>
    <n v="3"/>
    <n v="80"/>
    <n v="1"/>
    <n v="21"/>
    <n v="2"/>
    <n v="1"/>
    <n v="0"/>
    <n v="0"/>
    <n v="0"/>
  </r>
  <r>
    <s v="No"/>
    <s v="Travel_Rarely"/>
    <x v="0"/>
    <s v="Current Employees"/>
    <x v="1"/>
    <x v="0"/>
    <s v="STAFF-662"/>
    <n v="662"/>
    <x v="0"/>
    <x v="1"/>
    <x v="0"/>
    <s v="No"/>
    <s v="Y"/>
    <n v="3"/>
    <n v="-2"/>
    <n v="0"/>
    <n v="38"/>
    <n v="0"/>
    <m/>
    <n v="0"/>
    <n v="1"/>
    <n v="362"/>
    <n v="1"/>
    <x v="1"/>
    <n v="1"/>
    <n v="3"/>
    <n v="43"/>
    <n v="3"/>
    <n v="1"/>
    <n v="2"/>
    <n v="2619"/>
    <n v="14561"/>
    <n v="3"/>
    <n v="17"/>
    <x v="0"/>
    <n v="4"/>
    <n v="80"/>
    <n v="0"/>
    <n v="8"/>
    <n v="2"/>
    <n v="0"/>
    <n v="0"/>
    <n v="0"/>
    <n v="0"/>
  </r>
  <r>
    <s v="No"/>
    <s v="Travel_Frequently"/>
    <x v="0"/>
    <s v="Current Employees"/>
    <x v="1"/>
    <x v="2"/>
    <s v="STAFF-663"/>
    <n v="663"/>
    <x v="1"/>
    <x v="2"/>
    <x v="2"/>
    <s v="Yes"/>
    <s v="Y"/>
    <n v="3"/>
    <n v="-2"/>
    <n v="0"/>
    <n v="43"/>
    <n v="0"/>
    <m/>
    <n v="0"/>
    <n v="1"/>
    <n v="1001"/>
    <n v="9"/>
    <x v="4"/>
    <n v="1"/>
    <n v="4"/>
    <n v="72"/>
    <n v="3"/>
    <n v="2"/>
    <n v="3"/>
    <n v="5679"/>
    <n v="19627"/>
    <n v="3"/>
    <n v="13"/>
    <x v="0"/>
    <n v="2"/>
    <n v="80"/>
    <n v="1"/>
    <n v="10"/>
    <n v="3"/>
    <n v="8"/>
    <n v="7"/>
    <n v="4"/>
    <n v="7"/>
  </r>
  <r>
    <s v="No"/>
    <s v="Travel_Rarely"/>
    <x v="1"/>
    <s v="Current Employees"/>
    <x v="1"/>
    <x v="0"/>
    <s v="STAFF-664"/>
    <n v="664"/>
    <x v="0"/>
    <x v="5"/>
    <x v="1"/>
    <s v="No"/>
    <s v="Y"/>
    <n v="3"/>
    <n v="-2"/>
    <n v="0"/>
    <n v="48"/>
    <n v="0"/>
    <m/>
    <n v="0"/>
    <n v="1"/>
    <n v="1236"/>
    <n v="1"/>
    <x v="2"/>
    <n v="1"/>
    <n v="4"/>
    <n v="40"/>
    <n v="2"/>
    <n v="4"/>
    <n v="2"/>
    <n v="15402"/>
    <n v="17997"/>
    <n v="7"/>
    <n v="11"/>
    <x v="0"/>
    <n v="1"/>
    <n v="80"/>
    <n v="1"/>
    <n v="21"/>
    <n v="1"/>
    <n v="3"/>
    <n v="2"/>
    <n v="0"/>
    <n v="2"/>
  </r>
  <r>
    <s v="No"/>
    <s v="Travel_Rarely"/>
    <x v="0"/>
    <s v="Current Employees"/>
    <x v="2"/>
    <x v="0"/>
    <s v="STAFF-665"/>
    <n v="665"/>
    <x v="0"/>
    <x v="8"/>
    <x v="0"/>
    <s v="No"/>
    <s v="Y"/>
    <n v="1"/>
    <n v="-2"/>
    <n v="0"/>
    <n v="44"/>
    <n v="0"/>
    <m/>
    <n v="0"/>
    <n v="1"/>
    <n v="1112"/>
    <n v="1"/>
    <x v="2"/>
    <n v="1"/>
    <n v="1"/>
    <n v="50"/>
    <n v="2"/>
    <n v="2"/>
    <n v="2"/>
    <n v="5985"/>
    <n v="26894"/>
    <n v="4"/>
    <n v="11"/>
    <x v="0"/>
    <n v="2"/>
    <n v="80"/>
    <n v="0"/>
    <n v="10"/>
    <n v="4"/>
    <n v="2"/>
    <n v="2"/>
    <n v="0"/>
    <n v="2"/>
  </r>
  <r>
    <s v="No"/>
    <s v="Travel_Rarely"/>
    <x v="2"/>
    <s v="Current Employees"/>
    <x v="0"/>
    <x v="4"/>
    <s v="STAFF-666"/>
    <n v="666"/>
    <x v="0"/>
    <x v="6"/>
    <x v="2"/>
    <s v="Yes"/>
    <s v="Y"/>
    <n v="3"/>
    <n v="-2"/>
    <n v="0"/>
    <n v="34"/>
    <n v="0"/>
    <m/>
    <n v="0"/>
    <n v="1"/>
    <n v="204"/>
    <n v="14"/>
    <x v="3"/>
    <n v="1"/>
    <n v="4"/>
    <n v="31"/>
    <n v="3"/>
    <n v="1"/>
    <n v="4"/>
    <n v="2579"/>
    <n v="2912"/>
    <n v="1"/>
    <n v="18"/>
    <x v="0"/>
    <n v="4"/>
    <n v="80"/>
    <n v="2"/>
    <n v="8"/>
    <n v="3"/>
    <n v="8"/>
    <n v="2"/>
    <n v="0"/>
    <n v="6"/>
  </r>
  <r>
    <s v="Yes"/>
    <s v="Travel_Rarely"/>
    <x v="2"/>
    <s v="Ex-Employees"/>
    <x v="0"/>
    <x v="3"/>
    <s v="STAFF-667"/>
    <n v="667"/>
    <x v="1"/>
    <x v="6"/>
    <x v="2"/>
    <s v="No"/>
    <s v="Y"/>
    <n v="3"/>
    <n v="-2"/>
    <n v="0"/>
    <n v="27"/>
    <n v="1"/>
    <n v="1"/>
    <n v="1"/>
    <n v="0"/>
    <n v="1420"/>
    <n v="2"/>
    <x v="1"/>
    <n v="1"/>
    <n v="3"/>
    <n v="85"/>
    <n v="3"/>
    <n v="1"/>
    <n v="1"/>
    <n v="3041"/>
    <n v="16346"/>
    <n v="0"/>
    <n v="11"/>
    <x v="0"/>
    <n v="2"/>
    <n v="80"/>
    <n v="1"/>
    <n v="5"/>
    <n v="3"/>
    <n v="4"/>
    <n v="3"/>
    <n v="0"/>
    <n v="2"/>
  </r>
  <r>
    <s v="No"/>
    <s v="Travel_Rarely"/>
    <x v="4"/>
    <s v="Current Employees"/>
    <x v="0"/>
    <x v="4"/>
    <s v="STAFF-669"/>
    <n v="669"/>
    <x v="1"/>
    <x v="6"/>
    <x v="0"/>
    <s v="No"/>
    <s v="Y"/>
    <n v="2"/>
    <n v="-2"/>
    <n v="0"/>
    <n v="21"/>
    <n v="0"/>
    <m/>
    <n v="0"/>
    <n v="1"/>
    <n v="1343"/>
    <n v="22"/>
    <x v="1"/>
    <n v="1"/>
    <n v="4"/>
    <n v="49"/>
    <n v="3"/>
    <n v="1"/>
    <n v="4"/>
    <n v="3447"/>
    <n v="24444"/>
    <n v="1"/>
    <n v="11"/>
    <x v="0"/>
    <n v="3"/>
    <n v="80"/>
    <n v="0"/>
    <n v="3"/>
    <n v="3"/>
    <n v="3"/>
    <n v="2"/>
    <n v="1"/>
    <n v="2"/>
  </r>
  <r>
    <s v="No"/>
    <s v="Travel_Rarely"/>
    <x v="0"/>
    <s v="Current Employees"/>
    <x v="1"/>
    <x v="1"/>
    <s v="STAFF-671"/>
    <n v="671"/>
    <x v="1"/>
    <x v="5"/>
    <x v="1"/>
    <s v="Yes"/>
    <s v="Y"/>
    <n v="2"/>
    <n v="-2"/>
    <n v="0"/>
    <n v="44"/>
    <n v="0"/>
    <m/>
    <n v="0"/>
    <n v="1"/>
    <n v="1315"/>
    <n v="3"/>
    <x v="2"/>
    <n v="1"/>
    <n v="4"/>
    <n v="35"/>
    <n v="3"/>
    <n v="5"/>
    <n v="4"/>
    <n v="19513"/>
    <n v="9358"/>
    <n v="4"/>
    <n v="12"/>
    <x v="0"/>
    <n v="1"/>
    <n v="80"/>
    <n v="1"/>
    <n v="26"/>
    <n v="4"/>
    <n v="2"/>
    <n v="2"/>
    <n v="0"/>
    <n v="1"/>
  </r>
  <r>
    <s v="No"/>
    <s v="Travel_Rarely"/>
    <x v="4"/>
    <s v="Current Employees"/>
    <x v="1"/>
    <x v="2"/>
    <s v="STAFF-675"/>
    <n v="675"/>
    <x v="1"/>
    <x v="1"/>
    <x v="1"/>
    <s v="No"/>
    <s v="Y"/>
    <n v="3"/>
    <n v="-2"/>
    <n v="0"/>
    <n v="22"/>
    <n v="0"/>
    <m/>
    <n v="0"/>
    <n v="1"/>
    <n v="604"/>
    <n v="6"/>
    <x v="1"/>
    <n v="1"/>
    <n v="1"/>
    <n v="69"/>
    <n v="3"/>
    <n v="1"/>
    <n v="3"/>
    <n v="2773"/>
    <n v="12145"/>
    <n v="0"/>
    <n v="20"/>
    <x v="1"/>
    <n v="4"/>
    <n v="80"/>
    <n v="0"/>
    <n v="3"/>
    <n v="3"/>
    <n v="2"/>
    <n v="2"/>
    <n v="2"/>
    <n v="2"/>
  </r>
  <r>
    <s v="No"/>
    <s v="Travel_Rarely"/>
    <x v="2"/>
    <s v="Current Employees"/>
    <x v="0"/>
    <x v="3"/>
    <s v="STAFF-677"/>
    <n v="677"/>
    <x v="1"/>
    <x v="0"/>
    <x v="2"/>
    <s v="No"/>
    <s v="Y"/>
    <n v="3"/>
    <n v="-2"/>
    <n v="0"/>
    <n v="33"/>
    <n v="0"/>
    <m/>
    <n v="0"/>
    <n v="1"/>
    <n v="1216"/>
    <n v="8"/>
    <x v="2"/>
    <n v="1"/>
    <n v="3"/>
    <n v="39"/>
    <n v="3"/>
    <n v="2"/>
    <n v="1"/>
    <n v="7104"/>
    <n v="20431"/>
    <n v="0"/>
    <n v="12"/>
    <x v="0"/>
    <n v="4"/>
    <n v="80"/>
    <n v="0"/>
    <n v="6"/>
    <n v="3"/>
    <n v="5"/>
    <n v="0"/>
    <n v="1"/>
    <n v="2"/>
  </r>
  <r>
    <s v="No"/>
    <s v="Travel_Rarely"/>
    <x v="2"/>
    <s v="Current Employees"/>
    <x v="1"/>
    <x v="0"/>
    <s v="STAFF-679"/>
    <n v="679"/>
    <x v="0"/>
    <x v="1"/>
    <x v="1"/>
    <s v="Yes"/>
    <s v="Y"/>
    <n v="2"/>
    <n v="-2"/>
    <n v="0"/>
    <n v="32"/>
    <n v="0"/>
    <m/>
    <n v="0"/>
    <n v="1"/>
    <n v="646"/>
    <n v="9"/>
    <x v="2"/>
    <n v="1"/>
    <n v="1"/>
    <n v="92"/>
    <n v="3"/>
    <n v="2"/>
    <n v="2"/>
    <n v="6322"/>
    <n v="18089"/>
    <n v="1"/>
    <n v="12"/>
    <x v="0"/>
    <n v="4"/>
    <n v="80"/>
    <n v="1"/>
    <n v="6"/>
    <n v="2"/>
    <n v="6"/>
    <n v="4"/>
    <n v="0"/>
    <n v="5"/>
  </r>
  <r>
    <s v="No"/>
    <s v="Travel_Frequently"/>
    <x v="2"/>
    <s v="Current Employees"/>
    <x v="1"/>
    <x v="2"/>
    <s v="STAFF-680"/>
    <n v="680"/>
    <x v="0"/>
    <x v="1"/>
    <x v="2"/>
    <s v="No"/>
    <s v="Y"/>
    <n v="2"/>
    <n v="-2"/>
    <n v="0"/>
    <n v="30"/>
    <n v="0"/>
    <m/>
    <n v="0"/>
    <n v="1"/>
    <n v="160"/>
    <n v="3"/>
    <x v="3"/>
    <n v="1"/>
    <n v="3"/>
    <n v="71"/>
    <n v="3"/>
    <n v="1"/>
    <n v="3"/>
    <n v="2083"/>
    <n v="22653"/>
    <n v="1"/>
    <n v="20"/>
    <x v="1"/>
    <n v="3"/>
    <n v="80"/>
    <n v="1"/>
    <n v="1"/>
    <n v="3"/>
    <n v="1"/>
    <n v="0"/>
    <n v="0"/>
    <n v="0"/>
  </r>
  <r>
    <s v="No"/>
    <s v="Travel_Rarely"/>
    <x v="1"/>
    <s v="Current Employees"/>
    <x v="0"/>
    <x v="2"/>
    <s v="STAFF-682"/>
    <n v="682"/>
    <x v="0"/>
    <x v="0"/>
    <x v="0"/>
    <s v="No"/>
    <s v="Y"/>
    <n v="2"/>
    <n v="-2"/>
    <n v="0"/>
    <n v="53"/>
    <n v="0"/>
    <m/>
    <n v="0"/>
    <n v="1"/>
    <n v="238"/>
    <n v="1"/>
    <x v="1"/>
    <n v="1"/>
    <n v="4"/>
    <n v="34"/>
    <n v="3"/>
    <n v="2"/>
    <n v="3"/>
    <n v="8381"/>
    <n v="7507"/>
    <n v="7"/>
    <n v="20"/>
    <x v="1"/>
    <n v="4"/>
    <n v="80"/>
    <n v="0"/>
    <n v="18"/>
    <n v="4"/>
    <n v="14"/>
    <n v="7"/>
    <n v="8"/>
    <n v="10"/>
  </r>
  <r>
    <s v="No"/>
    <s v="Travel_Rarely"/>
    <x v="2"/>
    <s v="Current Employees"/>
    <x v="1"/>
    <x v="0"/>
    <s v="STAFF-683"/>
    <n v="683"/>
    <x v="1"/>
    <x v="1"/>
    <x v="1"/>
    <s v="No"/>
    <s v="Y"/>
    <n v="4"/>
    <n v="-2"/>
    <n v="0"/>
    <n v="34"/>
    <n v="0"/>
    <m/>
    <n v="0"/>
    <n v="1"/>
    <n v="1397"/>
    <n v="1"/>
    <x v="4"/>
    <n v="1"/>
    <n v="2"/>
    <n v="42"/>
    <n v="3"/>
    <n v="1"/>
    <n v="2"/>
    <n v="2691"/>
    <n v="7660"/>
    <n v="1"/>
    <n v="12"/>
    <x v="0"/>
    <n v="4"/>
    <n v="80"/>
    <n v="1"/>
    <n v="10"/>
    <n v="2"/>
    <n v="10"/>
    <n v="9"/>
    <n v="8"/>
    <n v="8"/>
  </r>
  <r>
    <s v="Yes"/>
    <s v="Travel_Frequently"/>
    <x v="1"/>
    <s v="Ex-Employees"/>
    <x v="0"/>
    <x v="0"/>
    <s v="STAFF-684"/>
    <n v="684"/>
    <x v="0"/>
    <x v="0"/>
    <x v="1"/>
    <s v="No"/>
    <s v="Y"/>
    <n v="4"/>
    <n v="-2"/>
    <n v="0"/>
    <n v="45"/>
    <n v="1"/>
    <n v="1"/>
    <n v="1"/>
    <n v="0"/>
    <n v="306"/>
    <n v="26"/>
    <x v="2"/>
    <n v="1"/>
    <n v="1"/>
    <n v="100"/>
    <n v="3"/>
    <n v="2"/>
    <n v="2"/>
    <n v="4286"/>
    <n v="5630"/>
    <n v="2"/>
    <n v="14"/>
    <x v="0"/>
    <n v="4"/>
    <n v="80"/>
    <n v="2"/>
    <n v="5"/>
    <n v="3"/>
    <n v="1"/>
    <n v="1"/>
    <n v="0"/>
    <n v="0"/>
  </r>
  <r>
    <s v="No"/>
    <s v="Travel_Rarely"/>
    <x v="2"/>
    <s v="Current Employees"/>
    <x v="1"/>
    <x v="0"/>
    <s v="STAFF-686"/>
    <n v="686"/>
    <x v="0"/>
    <x v="2"/>
    <x v="1"/>
    <s v="Yes"/>
    <s v="Y"/>
    <n v="2"/>
    <n v="-2"/>
    <n v="0"/>
    <n v="26"/>
    <n v="0"/>
    <m/>
    <n v="0"/>
    <n v="1"/>
    <n v="991"/>
    <n v="6"/>
    <x v="3"/>
    <n v="1"/>
    <n v="3"/>
    <n v="71"/>
    <n v="3"/>
    <n v="1"/>
    <n v="2"/>
    <n v="2659"/>
    <n v="17759"/>
    <n v="1"/>
    <n v="13"/>
    <x v="0"/>
    <n v="3"/>
    <n v="80"/>
    <n v="1"/>
    <n v="3"/>
    <n v="3"/>
    <n v="3"/>
    <n v="2"/>
    <n v="0"/>
    <n v="2"/>
  </r>
  <r>
    <s v="No"/>
    <s v="Travel_Rarely"/>
    <x v="0"/>
    <s v="Current Employees"/>
    <x v="1"/>
    <x v="1"/>
    <s v="STAFF-689"/>
    <n v="689"/>
    <x v="1"/>
    <x v="3"/>
    <x v="1"/>
    <s v="No"/>
    <s v="Y"/>
    <n v="2"/>
    <n v="-2"/>
    <n v="0"/>
    <n v="37"/>
    <n v="0"/>
    <m/>
    <n v="0"/>
    <n v="1"/>
    <n v="482"/>
    <n v="3"/>
    <x v="3"/>
    <n v="1"/>
    <n v="3"/>
    <n v="36"/>
    <n v="3"/>
    <n v="3"/>
    <n v="3"/>
    <n v="9434"/>
    <n v="9606"/>
    <n v="1"/>
    <n v="15"/>
    <x v="0"/>
    <n v="3"/>
    <n v="80"/>
    <n v="1"/>
    <n v="10"/>
    <n v="3"/>
    <n v="10"/>
    <n v="7"/>
    <n v="7"/>
    <n v="8"/>
  </r>
  <r>
    <s v="No"/>
    <s v="Travel_Rarely"/>
    <x v="2"/>
    <s v="Current Employees"/>
    <x v="0"/>
    <x v="2"/>
    <s v="STAFF-690"/>
    <n v="690"/>
    <x v="0"/>
    <x v="0"/>
    <x v="1"/>
    <s v="No"/>
    <s v="Y"/>
    <n v="5"/>
    <n v="-2"/>
    <n v="0"/>
    <n v="29"/>
    <n v="0"/>
    <m/>
    <n v="0"/>
    <n v="1"/>
    <n v="1176"/>
    <n v="3"/>
    <x v="0"/>
    <n v="1"/>
    <n v="2"/>
    <n v="62"/>
    <n v="3"/>
    <n v="2"/>
    <n v="3"/>
    <n v="5561"/>
    <n v="3487"/>
    <n v="1"/>
    <n v="14"/>
    <x v="0"/>
    <n v="1"/>
    <n v="80"/>
    <n v="1"/>
    <n v="6"/>
    <n v="2"/>
    <n v="6"/>
    <n v="0"/>
    <n v="1"/>
    <n v="2"/>
  </r>
  <r>
    <s v="No"/>
    <s v="Travel_Rarely"/>
    <x v="0"/>
    <s v="Current Employees"/>
    <x v="1"/>
    <x v="0"/>
    <s v="STAFF-691"/>
    <n v="691"/>
    <x v="1"/>
    <x v="1"/>
    <x v="0"/>
    <s v="No"/>
    <s v="Y"/>
    <n v="3"/>
    <n v="-2"/>
    <n v="0"/>
    <n v="35"/>
    <n v="0"/>
    <m/>
    <n v="0"/>
    <n v="1"/>
    <n v="1017"/>
    <n v="6"/>
    <x v="2"/>
    <n v="1"/>
    <n v="2"/>
    <n v="82"/>
    <n v="1"/>
    <n v="2"/>
    <n v="2"/>
    <n v="6646"/>
    <n v="19368"/>
    <n v="1"/>
    <n v="13"/>
    <x v="0"/>
    <n v="2"/>
    <n v="80"/>
    <n v="0"/>
    <n v="17"/>
    <n v="3"/>
    <n v="17"/>
    <n v="11"/>
    <n v="11"/>
    <n v="8"/>
  </r>
  <r>
    <s v="No"/>
    <s v="Travel_Frequently"/>
    <x v="2"/>
    <s v="Current Employees"/>
    <x v="1"/>
    <x v="0"/>
    <s v="STAFF-692"/>
    <n v="692"/>
    <x v="1"/>
    <x v="4"/>
    <x v="2"/>
    <s v="No"/>
    <s v="Y"/>
    <n v="2"/>
    <n v="-2"/>
    <n v="0"/>
    <n v="33"/>
    <n v="0"/>
    <m/>
    <n v="0"/>
    <n v="1"/>
    <n v="1296"/>
    <n v="6"/>
    <x v="3"/>
    <n v="1"/>
    <n v="3"/>
    <n v="30"/>
    <n v="3"/>
    <n v="2"/>
    <n v="2"/>
    <n v="7725"/>
    <n v="5335"/>
    <n v="3"/>
    <n v="23"/>
    <x v="1"/>
    <n v="3"/>
    <n v="80"/>
    <n v="1"/>
    <n v="15"/>
    <n v="1"/>
    <n v="13"/>
    <n v="11"/>
    <n v="4"/>
    <n v="7"/>
  </r>
  <r>
    <s v="No"/>
    <s v="Travel_Rarely"/>
    <x v="1"/>
    <s v="Current Employees"/>
    <x v="2"/>
    <x v="2"/>
    <s v="STAFF-698"/>
    <n v="698"/>
    <x v="1"/>
    <x v="8"/>
    <x v="1"/>
    <s v="No"/>
    <s v="Y"/>
    <n v="1"/>
    <n v="-2"/>
    <n v="0"/>
    <n v="54"/>
    <n v="0"/>
    <m/>
    <n v="0"/>
    <n v="1"/>
    <n v="397"/>
    <n v="19"/>
    <x v="2"/>
    <n v="1"/>
    <n v="3"/>
    <n v="88"/>
    <n v="3"/>
    <n v="3"/>
    <n v="3"/>
    <n v="10725"/>
    <n v="6729"/>
    <n v="2"/>
    <n v="15"/>
    <x v="0"/>
    <n v="3"/>
    <n v="80"/>
    <n v="1"/>
    <n v="16"/>
    <n v="4"/>
    <n v="9"/>
    <n v="7"/>
    <n v="7"/>
    <n v="1"/>
  </r>
  <r>
    <s v="No"/>
    <s v="Travel_Rarely"/>
    <x v="0"/>
    <s v="Current Employees"/>
    <x v="1"/>
    <x v="2"/>
    <s v="STAFF-699"/>
    <n v="699"/>
    <x v="1"/>
    <x v="3"/>
    <x v="2"/>
    <s v="Yes"/>
    <s v="Y"/>
    <n v="2"/>
    <n v="-2"/>
    <n v="0"/>
    <n v="36"/>
    <n v="0"/>
    <m/>
    <n v="0"/>
    <n v="1"/>
    <n v="913"/>
    <n v="9"/>
    <x v="0"/>
    <n v="1"/>
    <n v="2"/>
    <n v="48"/>
    <n v="2"/>
    <n v="2"/>
    <n v="3"/>
    <n v="8847"/>
    <n v="13934"/>
    <n v="2"/>
    <n v="11"/>
    <x v="0"/>
    <n v="3"/>
    <n v="80"/>
    <n v="1"/>
    <n v="13"/>
    <n v="3"/>
    <n v="3"/>
    <n v="2"/>
    <n v="0"/>
    <n v="2"/>
  </r>
  <r>
    <s v="No"/>
    <s v="Travel_Rarely"/>
    <x v="2"/>
    <s v="Current Employees"/>
    <x v="1"/>
    <x v="2"/>
    <s v="STAFF-700"/>
    <n v="700"/>
    <x v="1"/>
    <x v="1"/>
    <x v="0"/>
    <s v="No"/>
    <s v="Y"/>
    <n v="0"/>
    <n v="-2"/>
    <n v="0"/>
    <n v="27"/>
    <n v="0"/>
    <m/>
    <n v="0"/>
    <n v="1"/>
    <n v="1115"/>
    <n v="3"/>
    <x v="2"/>
    <n v="1"/>
    <n v="1"/>
    <n v="54"/>
    <n v="2"/>
    <n v="1"/>
    <n v="4"/>
    <n v="2045"/>
    <n v="15174"/>
    <n v="0"/>
    <n v="13"/>
    <x v="0"/>
    <n v="4"/>
    <n v="80"/>
    <n v="0"/>
    <n v="5"/>
    <n v="3"/>
    <n v="4"/>
    <n v="2"/>
    <n v="1"/>
    <n v="1"/>
  </r>
  <r>
    <s v="Yes"/>
    <s v="Travel_Rarely"/>
    <x v="4"/>
    <s v="Ex-Employees"/>
    <x v="1"/>
    <x v="2"/>
    <s v="STAFF-701"/>
    <n v="701"/>
    <x v="1"/>
    <x v="1"/>
    <x v="0"/>
    <s v="Yes"/>
    <s v="Y"/>
    <n v="5"/>
    <n v="-2"/>
    <n v="0"/>
    <n v="20"/>
    <n v="1"/>
    <n v="1"/>
    <n v="1"/>
    <n v="0"/>
    <n v="1362"/>
    <n v="10"/>
    <x v="1"/>
    <n v="1"/>
    <n v="4"/>
    <n v="32"/>
    <n v="3"/>
    <n v="1"/>
    <n v="3"/>
    <n v="1009"/>
    <n v="26999"/>
    <n v="1"/>
    <n v="11"/>
    <x v="0"/>
    <n v="4"/>
    <n v="80"/>
    <n v="0"/>
    <n v="1"/>
    <n v="3"/>
    <n v="1"/>
    <n v="0"/>
    <n v="1"/>
    <n v="1"/>
  </r>
  <r>
    <s v="Yes"/>
    <s v="Travel_Frequently"/>
    <x v="2"/>
    <s v="Ex-Employees"/>
    <x v="1"/>
    <x v="0"/>
    <s v="STAFF-702"/>
    <n v="702"/>
    <x v="1"/>
    <x v="1"/>
    <x v="0"/>
    <s v="Yes"/>
    <s v="Y"/>
    <n v="3"/>
    <n v="-2"/>
    <n v="0"/>
    <n v="33"/>
    <n v="1"/>
    <n v="1"/>
    <n v="1"/>
    <n v="0"/>
    <n v="1076"/>
    <n v="3"/>
    <x v="3"/>
    <n v="1"/>
    <n v="1"/>
    <n v="70"/>
    <n v="3"/>
    <n v="1"/>
    <n v="2"/>
    <n v="3348"/>
    <n v="3164"/>
    <n v="1"/>
    <n v="11"/>
    <x v="0"/>
    <n v="1"/>
    <n v="80"/>
    <n v="0"/>
    <n v="10"/>
    <n v="3"/>
    <n v="10"/>
    <n v="8"/>
    <n v="9"/>
    <n v="7"/>
  </r>
  <r>
    <s v="No"/>
    <s v="Non-Travel"/>
    <x v="0"/>
    <s v="Current Employees"/>
    <x v="1"/>
    <x v="0"/>
    <s v="STAFF-704"/>
    <n v="704"/>
    <x v="1"/>
    <x v="2"/>
    <x v="1"/>
    <s v="No"/>
    <s v="Y"/>
    <n v="3"/>
    <n v="-2"/>
    <n v="0"/>
    <n v="35"/>
    <n v="0"/>
    <m/>
    <n v="0"/>
    <n v="1"/>
    <n v="727"/>
    <n v="3"/>
    <x v="3"/>
    <n v="1"/>
    <n v="3"/>
    <n v="41"/>
    <n v="2"/>
    <n v="1"/>
    <n v="2"/>
    <n v="1281"/>
    <n v="16900"/>
    <n v="1"/>
    <n v="18"/>
    <x v="0"/>
    <n v="3"/>
    <n v="80"/>
    <n v="2"/>
    <n v="1"/>
    <n v="3"/>
    <n v="1"/>
    <n v="0"/>
    <n v="0"/>
    <n v="0"/>
  </r>
  <r>
    <s v="No"/>
    <s v="Travel_Rarely"/>
    <x v="4"/>
    <s v="Current Employees"/>
    <x v="1"/>
    <x v="2"/>
    <s v="STAFF-705"/>
    <n v="705"/>
    <x v="1"/>
    <x v="1"/>
    <x v="1"/>
    <s v="No"/>
    <s v="Y"/>
    <n v="3"/>
    <n v="-2"/>
    <n v="0"/>
    <n v="23"/>
    <n v="0"/>
    <m/>
    <n v="0"/>
    <n v="1"/>
    <n v="885"/>
    <n v="4"/>
    <x v="3"/>
    <n v="1"/>
    <n v="1"/>
    <n v="58"/>
    <n v="4"/>
    <n v="1"/>
    <n v="3"/>
    <n v="2819"/>
    <n v="8544"/>
    <n v="2"/>
    <n v="16"/>
    <x v="0"/>
    <n v="1"/>
    <n v="80"/>
    <n v="1"/>
    <n v="5"/>
    <n v="4"/>
    <n v="3"/>
    <n v="2"/>
    <n v="0"/>
    <n v="2"/>
  </r>
  <r>
    <s v="No"/>
    <s v="Travel_Rarely"/>
    <x v="2"/>
    <s v="Current Employees"/>
    <x v="0"/>
    <x v="0"/>
    <s v="STAFF-707"/>
    <n v="707"/>
    <x v="1"/>
    <x v="0"/>
    <x v="1"/>
    <s v="No"/>
    <s v="Y"/>
    <n v="4"/>
    <n v="-2"/>
    <n v="0"/>
    <n v="25"/>
    <n v="0"/>
    <m/>
    <n v="0"/>
    <n v="1"/>
    <n v="810"/>
    <n v="8"/>
    <x v="3"/>
    <n v="1"/>
    <n v="4"/>
    <n v="57"/>
    <n v="4"/>
    <n v="2"/>
    <n v="2"/>
    <n v="4851"/>
    <n v="15678"/>
    <n v="0"/>
    <n v="22"/>
    <x v="1"/>
    <n v="3"/>
    <n v="80"/>
    <n v="1"/>
    <n v="4"/>
    <n v="3"/>
    <n v="3"/>
    <n v="2"/>
    <n v="1"/>
    <n v="2"/>
  </r>
  <r>
    <s v="No"/>
    <s v="Travel_Rarely"/>
    <x v="0"/>
    <s v="Current Employees"/>
    <x v="0"/>
    <x v="3"/>
    <s v="STAFF-709"/>
    <n v="709"/>
    <x v="0"/>
    <x v="0"/>
    <x v="0"/>
    <s v="No"/>
    <s v="Y"/>
    <n v="2"/>
    <n v="-2"/>
    <n v="0"/>
    <n v="38"/>
    <n v="0"/>
    <m/>
    <n v="0"/>
    <n v="1"/>
    <n v="243"/>
    <n v="7"/>
    <x v="2"/>
    <n v="1"/>
    <n v="4"/>
    <n v="46"/>
    <n v="2"/>
    <n v="2"/>
    <n v="1"/>
    <n v="4028"/>
    <n v="7791"/>
    <n v="0"/>
    <n v="20"/>
    <x v="1"/>
    <n v="1"/>
    <n v="80"/>
    <n v="0"/>
    <n v="8"/>
    <n v="3"/>
    <n v="7"/>
    <n v="7"/>
    <n v="0"/>
    <n v="5"/>
  </r>
  <r>
    <s v="No"/>
    <s v="Travel_Frequently"/>
    <x v="2"/>
    <s v="Current Employees"/>
    <x v="1"/>
    <x v="0"/>
    <s v="STAFF-710"/>
    <n v="710"/>
    <x v="1"/>
    <x v="1"/>
    <x v="2"/>
    <s v="No"/>
    <s v="Y"/>
    <n v="5"/>
    <n v="-2"/>
    <n v="0"/>
    <n v="29"/>
    <n v="0"/>
    <m/>
    <n v="0"/>
    <n v="1"/>
    <n v="806"/>
    <n v="1"/>
    <x v="2"/>
    <n v="1"/>
    <n v="2"/>
    <n v="76"/>
    <n v="1"/>
    <n v="1"/>
    <n v="4"/>
    <n v="2720"/>
    <n v="18959"/>
    <n v="1"/>
    <n v="18"/>
    <x v="0"/>
    <n v="4"/>
    <n v="80"/>
    <n v="1"/>
    <n v="10"/>
    <n v="3"/>
    <n v="10"/>
    <n v="7"/>
    <n v="2"/>
    <n v="8"/>
  </r>
  <r>
    <s v="No"/>
    <s v="Travel_Rarely"/>
    <x v="1"/>
    <s v="Current Employees"/>
    <x v="0"/>
    <x v="3"/>
    <s v="STAFF-712"/>
    <n v="712"/>
    <x v="1"/>
    <x v="0"/>
    <x v="1"/>
    <s v="No"/>
    <s v="Y"/>
    <n v="3"/>
    <n v="-2"/>
    <n v="0"/>
    <n v="48"/>
    <n v="0"/>
    <m/>
    <n v="0"/>
    <n v="1"/>
    <n v="817"/>
    <n v="2"/>
    <x v="1"/>
    <n v="1"/>
    <n v="2"/>
    <n v="56"/>
    <n v="4"/>
    <n v="2"/>
    <n v="1"/>
    <n v="8120"/>
    <n v="18597"/>
    <n v="3"/>
    <n v="12"/>
    <x v="0"/>
    <n v="4"/>
    <n v="80"/>
    <n v="0"/>
    <n v="12"/>
    <n v="3"/>
    <n v="2"/>
    <n v="2"/>
    <n v="2"/>
    <n v="2"/>
  </r>
  <r>
    <s v="No"/>
    <s v="Travel_Frequently"/>
    <x v="2"/>
    <s v="Current Employees"/>
    <x v="0"/>
    <x v="2"/>
    <s v="STAFF-714"/>
    <n v="714"/>
    <x v="0"/>
    <x v="0"/>
    <x v="2"/>
    <s v="Yes"/>
    <s v="Y"/>
    <n v="3"/>
    <n v="-2"/>
    <n v="0"/>
    <n v="27"/>
    <n v="0"/>
    <m/>
    <n v="0"/>
    <n v="1"/>
    <n v="1410"/>
    <n v="3"/>
    <x v="1"/>
    <n v="1"/>
    <n v="4"/>
    <n v="71"/>
    <n v="4"/>
    <n v="2"/>
    <n v="4"/>
    <n v="4647"/>
    <n v="16673"/>
    <n v="1"/>
    <n v="20"/>
    <x v="1"/>
    <n v="2"/>
    <n v="80"/>
    <n v="2"/>
    <n v="6"/>
    <n v="3"/>
    <n v="6"/>
    <n v="5"/>
    <n v="0"/>
    <n v="4"/>
  </r>
  <r>
    <s v="No"/>
    <s v="Travel_Rarely"/>
    <x v="0"/>
    <s v="Current Employees"/>
    <x v="1"/>
    <x v="0"/>
    <s v="STAFF-715"/>
    <n v="715"/>
    <x v="1"/>
    <x v="1"/>
    <x v="0"/>
    <s v="No"/>
    <s v="Y"/>
    <n v="2"/>
    <n v="-2"/>
    <n v="0"/>
    <n v="37"/>
    <n v="0"/>
    <m/>
    <n v="0"/>
    <n v="1"/>
    <n v="1225"/>
    <n v="10"/>
    <x v="0"/>
    <n v="1"/>
    <n v="4"/>
    <n v="80"/>
    <n v="4"/>
    <n v="1"/>
    <n v="4"/>
    <n v="4680"/>
    <n v="15232"/>
    <n v="3"/>
    <n v="17"/>
    <x v="0"/>
    <n v="1"/>
    <n v="80"/>
    <n v="0"/>
    <n v="4"/>
    <n v="3"/>
    <n v="1"/>
    <n v="0"/>
    <n v="0"/>
    <n v="0"/>
  </r>
  <r>
    <s v="No"/>
    <s v="Travel_Rarely"/>
    <x v="1"/>
    <s v="Current Employees"/>
    <x v="1"/>
    <x v="2"/>
    <s v="STAFF-716"/>
    <n v="716"/>
    <x v="1"/>
    <x v="2"/>
    <x v="1"/>
    <s v="Yes"/>
    <s v="Y"/>
    <n v="3"/>
    <n v="-2"/>
    <n v="0"/>
    <n v="50"/>
    <n v="0"/>
    <m/>
    <n v="0"/>
    <n v="1"/>
    <n v="1207"/>
    <n v="28"/>
    <x v="1"/>
    <n v="1"/>
    <n v="4"/>
    <n v="74"/>
    <n v="4"/>
    <n v="1"/>
    <n v="3"/>
    <n v="3221"/>
    <n v="3297"/>
    <n v="1"/>
    <n v="11"/>
    <x v="0"/>
    <n v="3"/>
    <n v="80"/>
    <n v="3"/>
    <n v="20"/>
    <n v="3"/>
    <n v="20"/>
    <n v="8"/>
    <n v="3"/>
    <n v="8"/>
  </r>
  <r>
    <s v="No"/>
    <s v="Travel_Rarely"/>
    <x v="2"/>
    <s v="Current Employees"/>
    <x v="1"/>
    <x v="2"/>
    <s v="STAFF-717"/>
    <n v="717"/>
    <x v="0"/>
    <x v="4"/>
    <x v="0"/>
    <s v="No"/>
    <s v="Y"/>
    <n v="3"/>
    <n v="-2"/>
    <n v="0"/>
    <n v="34"/>
    <n v="0"/>
    <m/>
    <n v="0"/>
    <n v="1"/>
    <n v="1442"/>
    <n v="9"/>
    <x v="3"/>
    <n v="1"/>
    <n v="4"/>
    <n v="46"/>
    <n v="2"/>
    <n v="3"/>
    <n v="3"/>
    <n v="8621"/>
    <n v="17654"/>
    <n v="1"/>
    <n v="14"/>
    <x v="0"/>
    <n v="2"/>
    <n v="80"/>
    <n v="0"/>
    <n v="9"/>
    <n v="4"/>
    <n v="8"/>
    <n v="7"/>
    <n v="7"/>
    <n v="7"/>
  </r>
  <r>
    <s v="Yes"/>
    <s v="Travel_Rarely"/>
    <x v="4"/>
    <s v="Ex-Employees"/>
    <x v="0"/>
    <x v="0"/>
    <s v="STAFF-720"/>
    <n v="720"/>
    <x v="0"/>
    <x v="0"/>
    <x v="0"/>
    <s v="No"/>
    <s v="Y"/>
    <n v="3"/>
    <n v="-2"/>
    <n v="0"/>
    <n v="24"/>
    <n v="1"/>
    <n v="1"/>
    <n v="1"/>
    <n v="0"/>
    <n v="693"/>
    <n v="3"/>
    <x v="0"/>
    <n v="1"/>
    <n v="1"/>
    <n v="65"/>
    <n v="3"/>
    <n v="2"/>
    <n v="3"/>
    <n v="4577"/>
    <n v="24785"/>
    <n v="9"/>
    <n v="14"/>
    <x v="0"/>
    <n v="1"/>
    <n v="80"/>
    <n v="0"/>
    <n v="4"/>
    <n v="3"/>
    <n v="2"/>
    <n v="2"/>
    <n v="2"/>
    <n v="0"/>
  </r>
  <r>
    <s v="No"/>
    <s v="Travel_Rarely"/>
    <x v="0"/>
    <s v="Current Employees"/>
    <x v="1"/>
    <x v="4"/>
    <s v="STAFF-721"/>
    <n v="721"/>
    <x v="0"/>
    <x v="4"/>
    <x v="0"/>
    <s v="No"/>
    <s v="Y"/>
    <n v="4"/>
    <n v="-2"/>
    <n v="0"/>
    <n v="39"/>
    <n v="0"/>
    <m/>
    <n v="0"/>
    <n v="1"/>
    <n v="408"/>
    <n v="2"/>
    <x v="2"/>
    <n v="1"/>
    <n v="4"/>
    <n v="80"/>
    <n v="2"/>
    <n v="2"/>
    <n v="4"/>
    <n v="4553"/>
    <n v="20978"/>
    <n v="1"/>
    <n v="11"/>
    <x v="0"/>
    <n v="1"/>
    <n v="80"/>
    <n v="0"/>
    <n v="20"/>
    <n v="3"/>
    <n v="20"/>
    <n v="7"/>
    <n v="11"/>
    <n v="10"/>
  </r>
  <r>
    <s v="No"/>
    <s v="Travel_Rarely"/>
    <x v="2"/>
    <s v="Current Employees"/>
    <x v="0"/>
    <x v="3"/>
    <s v="STAFF-722"/>
    <n v="722"/>
    <x v="1"/>
    <x v="0"/>
    <x v="0"/>
    <s v="No"/>
    <s v="Y"/>
    <n v="2"/>
    <n v="-2"/>
    <n v="0"/>
    <n v="32"/>
    <n v="0"/>
    <m/>
    <n v="0"/>
    <n v="1"/>
    <n v="929"/>
    <n v="10"/>
    <x v="3"/>
    <n v="1"/>
    <n v="4"/>
    <n v="55"/>
    <n v="3"/>
    <n v="2"/>
    <n v="1"/>
    <n v="5396"/>
    <n v="21703"/>
    <n v="1"/>
    <n v="12"/>
    <x v="0"/>
    <n v="4"/>
    <n v="80"/>
    <n v="0"/>
    <n v="10"/>
    <n v="2"/>
    <n v="10"/>
    <n v="7"/>
    <n v="0"/>
    <n v="8"/>
  </r>
  <r>
    <s v="Yes"/>
    <s v="Travel_Frequently"/>
    <x v="1"/>
    <s v="Ex-Employees"/>
    <x v="0"/>
    <x v="4"/>
    <s v="STAFF-723"/>
    <n v="723"/>
    <x v="1"/>
    <x v="0"/>
    <x v="1"/>
    <s v="Yes"/>
    <s v="Y"/>
    <n v="4"/>
    <n v="-2"/>
    <n v="0"/>
    <n v="50"/>
    <n v="1"/>
    <n v="1"/>
    <n v="1"/>
    <n v="0"/>
    <n v="562"/>
    <n v="8"/>
    <x v="0"/>
    <n v="1"/>
    <n v="4"/>
    <n v="50"/>
    <n v="3"/>
    <n v="2"/>
    <n v="4"/>
    <n v="6796"/>
    <n v="23452"/>
    <n v="3"/>
    <n v="14"/>
    <x v="0"/>
    <n v="1"/>
    <n v="80"/>
    <n v="1"/>
    <n v="18"/>
    <n v="3"/>
    <n v="4"/>
    <n v="3"/>
    <n v="1"/>
    <n v="3"/>
  </r>
  <r>
    <s v="No"/>
    <s v="Travel_Rarely"/>
    <x v="0"/>
    <s v="Current Employees"/>
    <x v="1"/>
    <x v="0"/>
    <s v="STAFF-724"/>
    <n v="724"/>
    <x v="0"/>
    <x v="4"/>
    <x v="0"/>
    <s v="No"/>
    <s v="Y"/>
    <n v="4"/>
    <n v="-2"/>
    <n v="0"/>
    <n v="38"/>
    <n v="0"/>
    <m/>
    <n v="0"/>
    <n v="1"/>
    <n v="827"/>
    <n v="1"/>
    <x v="2"/>
    <n v="1"/>
    <n v="2"/>
    <n v="33"/>
    <n v="4"/>
    <n v="2"/>
    <n v="4"/>
    <n v="7625"/>
    <n v="19383"/>
    <n v="0"/>
    <n v="13"/>
    <x v="0"/>
    <n v="3"/>
    <n v="80"/>
    <n v="0"/>
    <n v="10"/>
    <n v="2"/>
    <n v="9"/>
    <n v="7"/>
    <n v="1"/>
    <n v="8"/>
  </r>
  <r>
    <s v="No"/>
    <s v="Travel_Rarely"/>
    <x v="2"/>
    <s v="Current Employees"/>
    <x v="1"/>
    <x v="0"/>
    <s v="STAFF-725"/>
    <n v="725"/>
    <x v="0"/>
    <x v="3"/>
    <x v="1"/>
    <s v="No"/>
    <s v="Y"/>
    <n v="3"/>
    <n v="-2"/>
    <n v="0"/>
    <n v="27"/>
    <n v="0"/>
    <m/>
    <n v="0"/>
    <n v="1"/>
    <n v="608"/>
    <n v="1"/>
    <x v="0"/>
    <n v="1"/>
    <n v="3"/>
    <n v="68"/>
    <n v="3"/>
    <n v="3"/>
    <n v="3"/>
    <n v="7412"/>
    <n v="6009"/>
    <n v="1"/>
    <n v="11"/>
    <x v="0"/>
    <n v="4"/>
    <n v="80"/>
    <n v="0"/>
    <n v="9"/>
    <n v="3"/>
    <n v="9"/>
    <n v="7"/>
    <n v="0"/>
    <n v="7"/>
  </r>
  <r>
    <s v="No"/>
    <s v="Travel_Rarely"/>
    <x v="2"/>
    <s v="Current Employees"/>
    <x v="1"/>
    <x v="0"/>
    <s v="STAFF-727"/>
    <n v="727"/>
    <x v="0"/>
    <x v="7"/>
    <x v="0"/>
    <s v="No"/>
    <s v="Y"/>
    <n v="6"/>
    <n v="-2"/>
    <n v="0"/>
    <n v="32"/>
    <n v="0"/>
    <m/>
    <n v="0"/>
    <n v="1"/>
    <n v="1018"/>
    <n v="3"/>
    <x v="0"/>
    <n v="1"/>
    <n v="3"/>
    <n v="39"/>
    <n v="3"/>
    <n v="3"/>
    <n v="4"/>
    <n v="11159"/>
    <n v="19373"/>
    <n v="3"/>
    <n v="15"/>
    <x v="0"/>
    <n v="4"/>
    <n v="80"/>
    <n v="0"/>
    <n v="10"/>
    <n v="3"/>
    <n v="7"/>
    <n v="7"/>
    <n v="7"/>
    <n v="7"/>
  </r>
  <r>
    <s v="No"/>
    <s v="Travel_Rarely"/>
    <x v="1"/>
    <s v="Current Employees"/>
    <x v="0"/>
    <x v="3"/>
    <s v="STAFF-728"/>
    <n v="728"/>
    <x v="1"/>
    <x v="0"/>
    <x v="0"/>
    <s v="No"/>
    <s v="Y"/>
    <n v="2"/>
    <n v="-2"/>
    <n v="0"/>
    <n v="47"/>
    <n v="0"/>
    <m/>
    <n v="0"/>
    <n v="1"/>
    <n v="703"/>
    <n v="14"/>
    <x v="2"/>
    <n v="1"/>
    <n v="4"/>
    <n v="42"/>
    <n v="3"/>
    <n v="2"/>
    <n v="1"/>
    <n v="4960"/>
    <n v="11825"/>
    <n v="2"/>
    <n v="12"/>
    <x v="0"/>
    <n v="4"/>
    <n v="80"/>
    <n v="0"/>
    <n v="20"/>
    <n v="3"/>
    <n v="7"/>
    <n v="7"/>
    <n v="1"/>
    <n v="7"/>
  </r>
  <r>
    <s v="No"/>
    <s v="Travel_Frequently"/>
    <x v="0"/>
    <s v="Current Employees"/>
    <x v="0"/>
    <x v="0"/>
    <s v="STAFF-729"/>
    <n v="729"/>
    <x v="1"/>
    <x v="0"/>
    <x v="1"/>
    <s v="Yes"/>
    <s v="Y"/>
    <n v="2"/>
    <n v="-2"/>
    <n v="0"/>
    <n v="40"/>
    <n v="0"/>
    <m/>
    <n v="0"/>
    <n v="1"/>
    <n v="580"/>
    <n v="5"/>
    <x v="2"/>
    <n v="1"/>
    <n v="4"/>
    <n v="48"/>
    <n v="2"/>
    <n v="3"/>
    <n v="3"/>
    <n v="10475"/>
    <n v="23772"/>
    <n v="5"/>
    <n v="21"/>
    <x v="1"/>
    <n v="3"/>
    <n v="80"/>
    <n v="1"/>
    <n v="20"/>
    <n v="3"/>
    <n v="18"/>
    <n v="13"/>
    <n v="1"/>
    <n v="12"/>
  </r>
  <r>
    <s v="No"/>
    <s v="Travel_Rarely"/>
    <x v="1"/>
    <s v="Current Employees"/>
    <x v="1"/>
    <x v="0"/>
    <s v="STAFF-730"/>
    <n v="730"/>
    <x v="1"/>
    <x v="7"/>
    <x v="1"/>
    <s v="No"/>
    <s v="Y"/>
    <n v="3"/>
    <n v="-2"/>
    <n v="0"/>
    <n v="53"/>
    <n v="0"/>
    <m/>
    <n v="0"/>
    <n v="1"/>
    <n v="970"/>
    <n v="7"/>
    <x v="3"/>
    <n v="1"/>
    <n v="3"/>
    <n v="59"/>
    <n v="4"/>
    <n v="4"/>
    <n v="3"/>
    <n v="14814"/>
    <n v="13514"/>
    <n v="3"/>
    <n v="19"/>
    <x v="0"/>
    <n v="3"/>
    <n v="80"/>
    <n v="0"/>
    <n v="32"/>
    <n v="3"/>
    <n v="5"/>
    <n v="1"/>
    <n v="1"/>
    <n v="3"/>
  </r>
  <r>
    <s v="No"/>
    <s v="Travel_Rarely"/>
    <x v="0"/>
    <s v="Current Employees"/>
    <x v="2"/>
    <x v="5"/>
    <s v="STAFF-731"/>
    <n v="731"/>
    <x v="1"/>
    <x v="5"/>
    <x v="2"/>
    <s v="No"/>
    <s v="Y"/>
    <n v="2"/>
    <n v="-2"/>
    <n v="0"/>
    <n v="41"/>
    <n v="0"/>
    <m/>
    <n v="0"/>
    <n v="1"/>
    <n v="427"/>
    <n v="10"/>
    <x v="2"/>
    <n v="1"/>
    <n v="2"/>
    <n v="73"/>
    <n v="2"/>
    <n v="5"/>
    <n v="4"/>
    <n v="19141"/>
    <n v="8861"/>
    <n v="3"/>
    <n v="15"/>
    <x v="0"/>
    <n v="2"/>
    <n v="80"/>
    <n v="3"/>
    <n v="23"/>
    <n v="2"/>
    <n v="21"/>
    <n v="6"/>
    <n v="12"/>
    <n v="6"/>
  </r>
  <r>
    <s v="No"/>
    <s v="Travel_Rarely"/>
    <x v="3"/>
    <s v="Current Employees"/>
    <x v="0"/>
    <x v="3"/>
    <s v="STAFF-732"/>
    <n v="732"/>
    <x v="1"/>
    <x v="0"/>
    <x v="0"/>
    <s v="No"/>
    <s v="Y"/>
    <n v="1"/>
    <n v="-2"/>
    <n v="0"/>
    <n v="60"/>
    <n v="0"/>
    <m/>
    <n v="0"/>
    <n v="1"/>
    <n v="1179"/>
    <n v="16"/>
    <x v="2"/>
    <n v="1"/>
    <n v="1"/>
    <n v="84"/>
    <n v="3"/>
    <n v="2"/>
    <n v="1"/>
    <n v="5405"/>
    <n v="11924"/>
    <n v="8"/>
    <n v="14"/>
    <x v="0"/>
    <n v="4"/>
    <n v="80"/>
    <n v="0"/>
    <n v="10"/>
    <n v="3"/>
    <n v="2"/>
    <n v="2"/>
    <n v="2"/>
    <n v="2"/>
  </r>
  <r>
    <s v="No"/>
    <s v="Travel_Frequently"/>
    <x v="2"/>
    <s v="Current Employees"/>
    <x v="1"/>
    <x v="0"/>
    <s v="STAFF-733"/>
    <n v="733"/>
    <x v="1"/>
    <x v="3"/>
    <x v="2"/>
    <s v="No"/>
    <s v="Y"/>
    <n v="4"/>
    <n v="-2"/>
    <n v="0"/>
    <n v="27"/>
    <n v="0"/>
    <m/>
    <n v="0"/>
    <n v="1"/>
    <n v="294"/>
    <n v="10"/>
    <x v="0"/>
    <n v="1"/>
    <n v="4"/>
    <n v="32"/>
    <n v="3"/>
    <n v="3"/>
    <n v="3"/>
    <n v="8793"/>
    <n v="4809"/>
    <n v="1"/>
    <n v="21"/>
    <x v="1"/>
    <n v="3"/>
    <n v="80"/>
    <n v="2"/>
    <n v="9"/>
    <n v="2"/>
    <n v="9"/>
    <n v="7"/>
    <n v="1"/>
    <n v="7"/>
  </r>
  <r>
    <s v="No"/>
    <s v="Travel_Rarely"/>
    <x v="0"/>
    <s v="Current Employees"/>
    <x v="2"/>
    <x v="5"/>
    <s v="STAFF-734"/>
    <n v="734"/>
    <x v="1"/>
    <x v="5"/>
    <x v="1"/>
    <s v="No"/>
    <s v="Y"/>
    <n v="3"/>
    <n v="-2"/>
    <n v="0"/>
    <n v="41"/>
    <n v="0"/>
    <m/>
    <n v="0"/>
    <n v="1"/>
    <n v="314"/>
    <n v="1"/>
    <x v="3"/>
    <n v="1"/>
    <n v="4"/>
    <n v="59"/>
    <n v="2"/>
    <n v="5"/>
    <n v="3"/>
    <n v="19189"/>
    <n v="19562"/>
    <n v="1"/>
    <n v="12"/>
    <x v="0"/>
    <n v="2"/>
    <n v="80"/>
    <n v="1"/>
    <n v="22"/>
    <n v="3"/>
    <n v="22"/>
    <n v="7"/>
    <n v="2"/>
    <n v="10"/>
  </r>
  <r>
    <s v="No"/>
    <s v="Travel_Rarely"/>
    <x v="1"/>
    <s v="Current Employees"/>
    <x v="0"/>
    <x v="3"/>
    <s v="STAFF-738"/>
    <n v="738"/>
    <x v="1"/>
    <x v="6"/>
    <x v="1"/>
    <s v="No"/>
    <s v="Y"/>
    <n v="2"/>
    <n v="-2"/>
    <n v="0"/>
    <n v="50"/>
    <n v="0"/>
    <m/>
    <n v="0"/>
    <n v="1"/>
    <n v="316"/>
    <n v="8"/>
    <x v="2"/>
    <n v="1"/>
    <n v="4"/>
    <n v="54"/>
    <n v="3"/>
    <n v="1"/>
    <n v="1"/>
    <n v="3875"/>
    <n v="9983"/>
    <n v="7"/>
    <n v="15"/>
    <x v="0"/>
    <n v="4"/>
    <n v="80"/>
    <n v="1"/>
    <n v="4"/>
    <n v="3"/>
    <n v="2"/>
    <n v="2"/>
    <n v="2"/>
    <n v="2"/>
  </r>
  <r>
    <s v="Yes"/>
    <s v="Travel_Rarely"/>
    <x v="2"/>
    <s v="Ex-Employees"/>
    <x v="1"/>
    <x v="0"/>
    <s v="STAFF-741"/>
    <n v="741"/>
    <x v="0"/>
    <x v="1"/>
    <x v="0"/>
    <s v="Yes"/>
    <s v="Y"/>
    <n v="4"/>
    <n v="-2"/>
    <n v="0"/>
    <n v="28"/>
    <n v="1"/>
    <n v="1"/>
    <n v="1"/>
    <n v="0"/>
    <n v="654"/>
    <n v="1"/>
    <x v="0"/>
    <n v="1"/>
    <n v="1"/>
    <n v="67"/>
    <n v="1"/>
    <n v="1"/>
    <n v="3"/>
    <n v="2216"/>
    <n v="3872"/>
    <n v="7"/>
    <n v="13"/>
    <x v="0"/>
    <n v="4"/>
    <n v="80"/>
    <n v="0"/>
    <n v="10"/>
    <n v="3"/>
    <n v="7"/>
    <n v="7"/>
    <n v="3"/>
    <n v="7"/>
  </r>
  <r>
    <s v="No"/>
    <s v="Non-Travel"/>
    <x v="0"/>
    <s v="Current Employees"/>
    <x v="1"/>
    <x v="0"/>
    <s v="STAFF-742"/>
    <n v="742"/>
    <x v="0"/>
    <x v="7"/>
    <x v="1"/>
    <s v="No"/>
    <s v="Y"/>
    <n v="2"/>
    <n v="-2"/>
    <n v="0"/>
    <n v="36"/>
    <n v="0"/>
    <m/>
    <n v="0"/>
    <n v="1"/>
    <n v="427"/>
    <n v="8"/>
    <x v="3"/>
    <n v="1"/>
    <n v="1"/>
    <n v="63"/>
    <n v="4"/>
    <n v="3"/>
    <n v="3"/>
    <n v="11713"/>
    <n v="20335"/>
    <n v="9"/>
    <n v="14"/>
    <x v="0"/>
    <n v="1"/>
    <n v="80"/>
    <n v="1"/>
    <n v="10"/>
    <n v="3"/>
    <n v="8"/>
    <n v="7"/>
    <n v="0"/>
    <n v="5"/>
  </r>
  <r>
    <s v="No"/>
    <s v="Travel_Rarely"/>
    <x v="0"/>
    <s v="Current Employees"/>
    <x v="1"/>
    <x v="0"/>
    <s v="STAFF-743"/>
    <n v="743"/>
    <x v="0"/>
    <x v="3"/>
    <x v="0"/>
    <s v="Yes"/>
    <s v="Y"/>
    <n v="4"/>
    <n v="-2"/>
    <n v="0"/>
    <n v="38"/>
    <n v="0"/>
    <m/>
    <n v="0"/>
    <n v="1"/>
    <n v="168"/>
    <n v="1"/>
    <x v="3"/>
    <n v="1"/>
    <n v="3"/>
    <n v="81"/>
    <n v="3"/>
    <n v="3"/>
    <n v="3"/>
    <n v="7861"/>
    <n v="15397"/>
    <n v="4"/>
    <n v="14"/>
    <x v="0"/>
    <n v="4"/>
    <n v="80"/>
    <n v="0"/>
    <n v="10"/>
    <n v="4"/>
    <n v="1"/>
    <n v="0"/>
    <n v="0"/>
    <n v="0"/>
  </r>
  <r>
    <s v="No"/>
    <s v="Non-Travel"/>
    <x v="0"/>
    <s v="Current Employees"/>
    <x v="1"/>
    <x v="2"/>
    <s v="STAFF-744"/>
    <n v="744"/>
    <x v="1"/>
    <x v="2"/>
    <x v="0"/>
    <s v="No"/>
    <s v="Y"/>
    <n v="5"/>
    <n v="-2"/>
    <n v="0"/>
    <n v="44"/>
    <n v="0"/>
    <m/>
    <n v="0"/>
    <n v="1"/>
    <n v="381"/>
    <n v="24"/>
    <x v="3"/>
    <n v="1"/>
    <n v="1"/>
    <n v="49"/>
    <n v="1"/>
    <n v="1"/>
    <n v="3"/>
    <n v="3708"/>
    <n v="2104"/>
    <n v="2"/>
    <n v="14"/>
    <x v="0"/>
    <n v="3"/>
    <n v="80"/>
    <n v="0"/>
    <n v="9"/>
    <n v="3"/>
    <n v="5"/>
    <n v="2"/>
    <n v="1"/>
    <n v="4"/>
  </r>
  <r>
    <s v="No"/>
    <s v="Travel_Frequently"/>
    <x v="1"/>
    <s v="Current Employees"/>
    <x v="0"/>
    <x v="2"/>
    <s v="STAFF-746"/>
    <n v="746"/>
    <x v="0"/>
    <x v="0"/>
    <x v="2"/>
    <s v="Yes"/>
    <s v="Y"/>
    <n v="2"/>
    <n v="-2"/>
    <n v="0"/>
    <n v="47"/>
    <n v="0"/>
    <m/>
    <n v="0"/>
    <n v="1"/>
    <n v="217"/>
    <n v="3"/>
    <x v="3"/>
    <n v="1"/>
    <n v="4"/>
    <n v="49"/>
    <n v="3"/>
    <n v="4"/>
    <n v="3"/>
    <n v="13770"/>
    <n v="10225"/>
    <n v="9"/>
    <n v="12"/>
    <x v="0"/>
    <n v="4"/>
    <n v="80"/>
    <n v="2"/>
    <n v="28"/>
    <n v="2"/>
    <n v="22"/>
    <n v="2"/>
    <n v="11"/>
    <n v="13"/>
  </r>
  <r>
    <s v="No"/>
    <s v="Travel_Rarely"/>
    <x v="2"/>
    <s v="Current Employees"/>
    <x v="0"/>
    <x v="3"/>
    <s v="STAFF-747"/>
    <n v="747"/>
    <x v="1"/>
    <x v="0"/>
    <x v="2"/>
    <s v="No"/>
    <s v="Y"/>
    <n v="2"/>
    <n v="-2"/>
    <n v="0"/>
    <n v="30"/>
    <n v="0"/>
    <m/>
    <n v="0"/>
    <n v="1"/>
    <n v="501"/>
    <n v="27"/>
    <x v="4"/>
    <n v="1"/>
    <n v="3"/>
    <n v="99"/>
    <n v="3"/>
    <n v="2"/>
    <n v="1"/>
    <n v="5304"/>
    <n v="25275"/>
    <n v="7"/>
    <n v="23"/>
    <x v="1"/>
    <n v="4"/>
    <n v="80"/>
    <n v="1"/>
    <n v="10"/>
    <n v="2"/>
    <n v="8"/>
    <n v="7"/>
    <n v="7"/>
    <n v="7"/>
  </r>
  <r>
    <s v="No"/>
    <s v="Travel_Rarely"/>
    <x v="2"/>
    <s v="Current Employees"/>
    <x v="0"/>
    <x v="0"/>
    <s v="STAFF-749"/>
    <n v="749"/>
    <x v="1"/>
    <x v="6"/>
    <x v="0"/>
    <s v="No"/>
    <s v="Y"/>
    <n v="6"/>
    <n v="-2"/>
    <n v="0"/>
    <n v="29"/>
    <n v="0"/>
    <m/>
    <n v="0"/>
    <n v="1"/>
    <n v="1396"/>
    <n v="10"/>
    <x v="3"/>
    <n v="1"/>
    <n v="3"/>
    <n v="99"/>
    <n v="3"/>
    <n v="1"/>
    <n v="3"/>
    <n v="2642"/>
    <n v="2755"/>
    <n v="1"/>
    <n v="11"/>
    <x v="0"/>
    <n v="3"/>
    <n v="80"/>
    <n v="0"/>
    <n v="1"/>
    <n v="3"/>
    <n v="1"/>
    <n v="0"/>
    <n v="0"/>
    <n v="0"/>
  </r>
  <r>
    <s v="Yes"/>
    <s v="Travel_Frequently"/>
    <x v="0"/>
    <s v="Ex-Employees"/>
    <x v="1"/>
    <x v="2"/>
    <s v="STAFF-752"/>
    <n v="752"/>
    <x v="1"/>
    <x v="1"/>
    <x v="2"/>
    <s v="Yes"/>
    <s v="Y"/>
    <n v="2"/>
    <n v="-2"/>
    <n v="0"/>
    <n v="42"/>
    <n v="1"/>
    <n v="1"/>
    <n v="1"/>
    <n v="0"/>
    <n v="933"/>
    <n v="19"/>
    <x v="3"/>
    <n v="1"/>
    <n v="3"/>
    <n v="57"/>
    <n v="4"/>
    <n v="1"/>
    <n v="3"/>
    <n v="2759"/>
    <n v="20366"/>
    <n v="6"/>
    <n v="12"/>
    <x v="0"/>
    <n v="4"/>
    <n v="80"/>
    <n v="0"/>
    <n v="7"/>
    <n v="3"/>
    <n v="2"/>
    <n v="2"/>
    <n v="2"/>
    <n v="2"/>
  </r>
  <r>
    <s v="No"/>
    <s v="Travel_Frequently"/>
    <x v="0"/>
    <s v="Current Employees"/>
    <x v="0"/>
    <x v="0"/>
    <s v="STAFF-754"/>
    <n v="754"/>
    <x v="1"/>
    <x v="0"/>
    <x v="1"/>
    <s v="No"/>
    <s v="Y"/>
    <n v="5"/>
    <n v="-2"/>
    <n v="0"/>
    <n v="43"/>
    <n v="0"/>
    <m/>
    <n v="0"/>
    <n v="1"/>
    <n v="775"/>
    <n v="15"/>
    <x v="3"/>
    <n v="1"/>
    <n v="4"/>
    <n v="47"/>
    <n v="2"/>
    <n v="2"/>
    <n v="4"/>
    <n v="6804"/>
    <n v="23683"/>
    <n v="3"/>
    <n v="18"/>
    <x v="0"/>
    <n v="3"/>
    <n v="80"/>
    <n v="1"/>
    <n v="7"/>
    <n v="3"/>
    <n v="2"/>
    <n v="2"/>
    <n v="2"/>
    <n v="2"/>
  </r>
  <r>
    <s v="No"/>
    <s v="Travel_Rarely"/>
    <x v="2"/>
    <s v="Current Employees"/>
    <x v="1"/>
    <x v="2"/>
    <s v="STAFF-757"/>
    <n v="757"/>
    <x v="0"/>
    <x v="4"/>
    <x v="0"/>
    <s v="No"/>
    <s v="Y"/>
    <n v="2"/>
    <n v="-2"/>
    <n v="0"/>
    <n v="34"/>
    <n v="0"/>
    <m/>
    <n v="0"/>
    <n v="1"/>
    <n v="970"/>
    <n v="8"/>
    <x v="0"/>
    <n v="1"/>
    <n v="2"/>
    <n v="96"/>
    <n v="3"/>
    <n v="2"/>
    <n v="3"/>
    <n v="6142"/>
    <n v="7360"/>
    <n v="3"/>
    <n v="11"/>
    <x v="0"/>
    <n v="4"/>
    <n v="80"/>
    <n v="0"/>
    <n v="10"/>
    <n v="3"/>
    <n v="5"/>
    <n v="1"/>
    <n v="4"/>
    <n v="3"/>
  </r>
  <r>
    <s v="No"/>
    <s v="Travel_Rarely"/>
    <x v="4"/>
    <s v="Current Employees"/>
    <x v="1"/>
    <x v="2"/>
    <s v="STAFF-758"/>
    <n v="758"/>
    <x v="1"/>
    <x v="2"/>
    <x v="1"/>
    <s v="No"/>
    <s v="Y"/>
    <n v="2"/>
    <n v="-2"/>
    <n v="0"/>
    <n v="23"/>
    <n v="0"/>
    <m/>
    <n v="0"/>
    <n v="1"/>
    <n v="650"/>
    <n v="9"/>
    <x v="1"/>
    <n v="1"/>
    <n v="2"/>
    <n v="37"/>
    <n v="3"/>
    <n v="1"/>
    <n v="3"/>
    <n v="2500"/>
    <n v="4344"/>
    <n v="1"/>
    <n v="14"/>
    <x v="0"/>
    <n v="4"/>
    <n v="80"/>
    <n v="1"/>
    <n v="5"/>
    <n v="4"/>
    <n v="4"/>
    <n v="3"/>
    <n v="0"/>
    <n v="2"/>
  </r>
  <r>
    <s v="No"/>
    <s v="Travel_Rarely"/>
    <x v="0"/>
    <s v="Current Employees"/>
    <x v="2"/>
    <x v="5"/>
    <s v="STAFF-760"/>
    <n v="760"/>
    <x v="0"/>
    <x v="8"/>
    <x v="1"/>
    <s v="No"/>
    <s v="Y"/>
    <n v="3"/>
    <n v="-2"/>
    <n v="0"/>
    <n v="39"/>
    <n v="0"/>
    <m/>
    <n v="0"/>
    <n v="1"/>
    <n v="141"/>
    <n v="3"/>
    <x v="3"/>
    <n v="1"/>
    <n v="3"/>
    <n v="44"/>
    <n v="4"/>
    <n v="2"/>
    <n v="3"/>
    <n v="6389"/>
    <n v="18767"/>
    <n v="9"/>
    <n v="15"/>
    <x v="0"/>
    <n v="3"/>
    <n v="80"/>
    <n v="1"/>
    <n v="12"/>
    <n v="1"/>
    <n v="8"/>
    <n v="3"/>
    <n v="3"/>
    <n v="6"/>
  </r>
  <r>
    <s v="No"/>
    <s v="Travel_Rarely"/>
    <x v="3"/>
    <s v="Current Employees"/>
    <x v="1"/>
    <x v="2"/>
    <s v="STAFF-762"/>
    <n v="762"/>
    <x v="1"/>
    <x v="4"/>
    <x v="1"/>
    <s v="No"/>
    <s v="Y"/>
    <n v="1"/>
    <n v="-2"/>
    <n v="0"/>
    <n v="56"/>
    <n v="0"/>
    <m/>
    <n v="0"/>
    <n v="1"/>
    <n v="832"/>
    <n v="9"/>
    <x v="3"/>
    <n v="1"/>
    <n v="3"/>
    <n v="81"/>
    <n v="3"/>
    <n v="4"/>
    <n v="4"/>
    <n v="11103"/>
    <n v="20420"/>
    <n v="7"/>
    <n v="11"/>
    <x v="0"/>
    <n v="3"/>
    <n v="80"/>
    <n v="0"/>
    <n v="30"/>
    <n v="2"/>
    <n v="10"/>
    <n v="7"/>
    <n v="1"/>
    <n v="1"/>
  </r>
  <r>
    <s v="No"/>
    <s v="Travel_Rarely"/>
    <x v="0"/>
    <s v="Current Employees"/>
    <x v="1"/>
    <x v="2"/>
    <s v="STAFF-763"/>
    <n v="763"/>
    <x v="0"/>
    <x v="1"/>
    <x v="0"/>
    <s v="Yes"/>
    <s v="Y"/>
    <n v="2"/>
    <n v="-2"/>
    <n v="0"/>
    <n v="40"/>
    <n v="0"/>
    <m/>
    <n v="0"/>
    <n v="1"/>
    <n v="804"/>
    <n v="2"/>
    <x v="1"/>
    <n v="1"/>
    <n v="4"/>
    <n v="86"/>
    <n v="2"/>
    <n v="1"/>
    <n v="4"/>
    <n v="2342"/>
    <n v="22929"/>
    <n v="0"/>
    <n v="20"/>
    <x v="1"/>
    <n v="4"/>
    <n v="80"/>
    <n v="0"/>
    <n v="5"/>
    <n v="2"/>
    <n v="4"/>
    <n v="2"/>
    <n v="2"/>
    <n v="3"/>
  </r>
  <r>
    <s v="No"/>
    <s v="Travel_Rarely"/>
    <x v="2"/>
    <s v="Current Employees"/>
    <x v="1"/>
    <x v="2"/>
    <s v="STAFF-764"/>
    <n v="764"/>
    <x v="0"/>
    <x v="4"/>
    <x v="0"/>
    <s v="No"/>
    <s v="Y"/>
    <n v="2"/>
    <n v="-2"/>
    <n v="0"/>
    <n v="27"/>
    <n v="0"/>
    <m/>
    <n v="0"/>
    <n v="1"/>
    <n v="975"/>
    <n v="7"/>
    <x v="3"/>
    <n v="1"/>
    <n v="4"/>
    <n v="55"/>
    <n v="2"/>
    <n v="2"/>
    <n v="3"/>
    <n v="6811"/>
    <n v="23398"/>
    <n v="8"/>
    <n v="19"/>
    <x v="0"/>
    <n v="1"/>
    <n v="80"/>
    <n v="0"/>
    <n v="9"/>
    <n v="1"/>
    <n v="7"/>
    <n v="6"/>
    <n v="0"/>
    <n v="7"/>
  </r>
  <r>
    <s v="No"/>
    <s v="Travel_Rarely"/>
    <x v="2"/>
    <s v="Current Employees"/>
    <x v="0"/>
    <x v="3"/>
    <s v="STAFF-766"/>
    <n v="766"/>
    <x v="1"/>
    <x v="6"/>
    <x v="2"/>
    <s v="No"/>
    <s v="Y"/>
    <n v="2"/>
    <n v="-2"/>
    <n v="0"/>
    <n v="29"/>
    <n v="0"/>
    <m/>
    <n v="0"/>
    <n v="1"/>
    <n v="1090"/>
    <n v="10"/>
    <x v="3"/>
    <n v="1"/>
    <n v="4"/>
    <n v="83"/>
    <n v="3"/>
    <n v="1"/>
    <n v="2"/>
    <n v="2297"/>
    <n v="17967"/>
    <n v="1"/>
    <n v="14"/>
    <x v="0"/>
    <n v="4"/>
    <n v="80"/>
    <n v="2"/>
    <n v="2"/>
    <n v="3"/>
    <n v="2"/>
    <n v="2"/>
    <n v="2"/>
    <n v="2"/>
  </r>
  <r>
    <s v="No"/>
    <s v="Travel_Rarely"/>
    <x v="1"/>
    <s v="Current Employees"/>
    <x v="1"/>
    <x v="0"/>
    <s v="STAFF-769"/>
    <n v="769"/>
    <x v="1"/>
    <x v="2"/>
    <x v="0"/>
    <s v="No"/>
    <s v="Y"/>
    <n v="4"/>
    <n v="-2"/>
    <n v="0"/>
    <n v="53"/>
    <n v="0"/>
    <m/>
    <n v="0"/>
    <n v="1"/>
    <n v="346"/>
    <n v="6"/>
    <x v="3"/>
    <n v="1"/>
    <n v="4"/>
    <n v="86"/>
    <n v="3"/>
    <n v="2"/>
    <n v="4"/>
    <n v="2450"/>
    <n v="10919"/>
    <n v="2"/>
    <n v="17"/>
    <x v="0"/>
    <n v="4"/>
    <n v="80"/>
    <n v="0"/>
    <n v="19"/>
    <n v="3"/>
    <n v="2"/>
    <n v="2"/>
    <n v="2"/>
    <n v="2"/>
  </r>
  <r>
    <s v="No"/>
    <s v="Non-Travel"/>
    <x v="0"/>
    <s v="Current Employees"/>
    <x v="1"/>
    <x v="0"/>
    <s v="STAFF-771"/>
    <n v="771"/>
    <x v="0"/>
    <x v="4"/>
    <x v="2"/>
    <s v="No"/>
    <s v="Y"/>
    <n v="2"/>
    <n v="-2"/>
    <n v="0"/>
    <n v="35"/>
    <n v="0"/>
    <m/>
    <n v="0"/>
    <n v="1"/>
    <n v="1225"/>
    <n v="2"/>
    <x v="2"/>
    <n v="1"/>
    <n v="4"/>
    <n v="61"/>
    <n v="3"/>
    <n v="2"/>
    <n v="1"/>
    <n v="5093"/>
    <n v="4761"/>
    <n v="2"/>
    <n v="11"/>
    <x v="0"/>
    <n v="1"/>
    <n v="80"/>
    <n v="1"/>
    <n v="16"/>
    <n v="4"/>
    <n v="1"/>
    <n v="0"/>
    <n v="0"/>
    <n v="0"/>
  </r>
  <r>
    <s v="No"/>
    <s v="Travel_Frequently"/>
    <x v="2"/>
    <s v="Current Employees"/>
    <x v="1"/>
    <x v="0"/>
    <s v="STAFF-772"/>
    <n v="772"/>
    <x v="1"/>
    <x v="2"/>
    <x v="1"/>
    <s v="No"/>
    <s v="Y"/>
    <n v="2"/>
    <n v="-2"/>
    <n v="0"/>
    <n v="32"/>
    <n v="0"/>
    <m/>
    <n v="0"/>
    <n v="1"/>
    <n v="430"/>
    <n v="24"/>
    <x v="2"/>
    <n v="1"/>
    <n v="1"/>
    <n v="80"/>
    <n v="3"/>
    <n v="2"/>
    <n v="1"/>
    <n v="5309"/>
    <n v="21146"/>
    <n v="1"/>
    <n v="15"/>
    <x v="0"/>
    <n v="4"/>
    <n v="80"/>
    <n v="2"/>
    <n v="10"/>
    <n v="3"/>
    <n v="10"/>
    <n v="8"/>
    <n v="4"/>
    <n v="7"/>
  </r>
  <r>
    <s v="No"/>
    <s v="Travel_Rarely"/>
    <x v="0"/>
    <s v="Current Employees"/>
    <x v="1"/>
    <x v="2"/>
    <s v="STAFF-773"/>
    <n v="773"/>
    <x v="1"/>
    <x v="1"/>
    <x v="1"/>
    <s v="Yes"/>
    <s v="Y"/>
    <n v="0"/>
    <n v="-2"/>
    <n v="0"/>
    <n v="38"/>
    <n v="0"/>
    <m/>
    <n v="0"/>
    <n v="1"/>
    <n v="268"/>
    <n v="2"/>
    <x v="4"/>
    <n v="1"/>
    <n v="4"/>
    <n v="92"/>
    <n v="3"/>
    <n v="1"/>
    <n v="3"/>
    <n v="3057"/>
    <n v="20471"/>
    <n v="6"/>
    <n v="13"/>
    <x v="0"/>
    <n v="2"/>
    <n v="80"/>
    <n v="1"/>
    <n v="6"/>
    <n v="1"/>
    <n v="1"/>
    <n v="0"/>
    <n v="0"/>
    <n v="1"/>
  </r>
  <r>
    <s v="No"/>
    <s v="Travel_Rarely"/>
    <x v="2"/>
    <s v="Current Employees"/>
    <x v="1"/>
    <x v="0"/>
    <s v="STAFF-775"/>
    <n v="775"/>
    <x v="0"/>
    <x v="3"/>
    <x v="2"/>
    <s v="No"/>
    <s v="Y"/>
    <n v="3"/>
    <n v="-2"/>
    <n v="0"/>
    <n v="34"/>
    <n v="0"/>
    <m/>
    <n v="0"/>
    <n v="1"/>
    <n v="167"/>
    <n v="8"/>
    <x v="4"/>
    <n v="1"/>
    <n v="2"/>
    <n v="32"/>
    <n v="3"/>
    <n v="2"/>
    <n v="1"/>
    <n v="5121"/>
    <n v="4187"/>
    <n v="3"/>
    <n v="14"/>
    <x v="0"/>
    <n v="3"/>
    <n v="80"/>
    <n v="1"/>
    <n v="7"/>
    <n v="3"/>
    <n v="0"/>
    <n v="0"/>
    <n v="0"/>
    <n v="0"/>
  </r>
  <r>
    <s v="No"/>
    <s v="Travel_Rarely"/>
    <x v="1"/>
    <s v="Current Employees"/>
    <x v="0"/>
    <x v="3"/>
    <s v="STAFF-776"/>
    <n v="776"/>
    <x v="1"/>
    <x v="5"/>
    <x v="1"/>
    <s v="No"/>
    <s v="Y"/>
    <n v="3"/>
    <n v="-2"/>
    <n v="0"/>
    <n v="52"/>
    <n v="0"/>
    <m/>
    <n v="0"/>
    <n v="1"/>
    <n v="621"/>
    <n v="3"/>
    <x v="2"/>
    <n v="1"/>
    <n v="3"/>
    <n v="31"/>
    <n v="2"/>
    <n v="4"/>
    <n v="2"/>
    <n v="16856"/>
    <n v="10084"/>
    <n v="1"/>
    <n v="11"/>
    <x v="0"/>
    <n v="1"/>
    <n v="80"/>
    <n v="0"/>
    <n v="34"/>
    <n v="4"/>
    <n v="34"/>
    <n v="6"/>
    <n v="1"/>
    <n v="16"/>
  </r>
  <r>
    <s v="Yes"/>
    <s v="Travel_Rarely"/>
    <x v="2"/>
    <s v="Ex-Employees"/>
    <x v="1"/>
    <x v="1"/>
    <s v="STAFF-780"/>
    <n v="780"/>
    <x v="1"/>
    <x v="1"/>
    <x v="0"/>
    <s v="Yes"/>
    <s v="Y"/>
    <n v="2"/>
    <n v="-2"/>
    <n v="0"/>
    <n v="33"/>
    <n v="1"/>
    <n v="1"/>
    <n v="1"/>
    <n v="0"/>
    <n v="527"/>
    <n v="1"/>
    <x v="2"/>
    <n v="1"/>
    <n v="4"/>
    <n v="63"/>
    <n v="3"/>
    <n v="1"/>
    <n v="4"/>
    <n v="2686"/>
    <n v="5207"/>
    <n v="1"/>
    <n v="13"/>
    <x v="0"/>
    <n v="3"/>
    <n v="80"/>
    <n v="0"/>
    <n v="10"/>
    <n v="2"/>
    <n v="10"/>
    <n v="9"/>
    <n v="7"/>
    <n v="8"/>
  </r>
  <r>
    <s v="No"/>
    <s v="Travel_Rarely"/>
    <x v="2"/>
    <s v="Current Employees"/>
    <x v="0"/>
    <x v="2"/>
    <s v="STAFF-781"/>
    <n v="781"/>
    <x v="0"/>
    <x v="0"/>
    <x v="0"/>
    <s v="No"/>
    <s v="Y"/>
    <n v="5"/>
    <n v="-2"/>
    <n v="0"/>
    <n v="25"/>
    <n v="0"/>
    <m/>
    <n v="0"/>
    <n v="1"/>
    <n v="883"/>
    <n v="26"/>
    <x v="1"/>
    <n v="1"/>
    <n v="3"/>
    <n v="32"/>
    <n v="3"/>
    <n v="2"/>
    <n v="4"/>
    <n v="6180"/>
    <n v="22807"/>
    <n v="1"/>
    <n v="23"/>
    <x v="1"/>
    <n v="2"/>
    <n v="80"/>
    <n v="0"/>
    <n v="6"/>
    <n v="2"/>
    <n v="6"/>
    <n v="5"/>
    <n v="1"/>
    <n v="4"/>
  </r>
  <r>
    <s v="No"/>
    <s v="Travel_Rarely"/>
    <x v="1"/>
    <s v="Current Employees"/>
    <x v="0"/>
    <x v="4"/>
    <s v="STAFF-783"/>
    <n v="783"/>
    <x v="1"/>
    <x v="6"/>
    <x v="0"/>
    <s v="No"/>
    <s v="Y"/>
    <n v="3"/>
    <n v="-2"/>
    <n v="0"/>
    <n v="45"/>
    <n v="0"/>
    <m/>
    <n v="0"/>
    <n v="1"/>
    <n v="954"/>
    <n v="2"/>
    <x v="0"/>
    <n v="1"/>
    <n v="4"/>
    <n v="46"/>
    <n v="1"/>
    <n v="2"/>
    <n v="4"/>
    <n v="6632"/>
    <n v="12388"/>
    <n v="0"/>
    <n v="13"/>
    <x v="0"/>
    <n v="1"/>
    <n v="80"/>
    <n v="0"/>
    <n v="9"/>
    <n v="3"/>
    <n v="8"/>
    <n v="7"/>
    <n v="3"/>
    <n v="1"/>
  </r>
  <r>
    <s v="No"/>
    <s v="Travel_Rarely"/>
    <x v="4"/>
    <s v="Current Employees"/>
    <x v="1"/>
    <x v="2"/>
    <s v="STAFF-784"/>
    <n v="784"/>
    <x v="1"/>
    <x v="1"/>
    <x v="0"/>
    <s v="No"/>
    <s v="Y"/>
    <n v="3"/>
    <n v="-2"/>
    <n v="0"/>
    <n v="23"/>
    <n v="0"/>
    <m/>
    <n v="0"/>
    <n v="1"/>
    <n v="310"/>
    <n v="10"/>
    <x v="1"/>
    <n v="1"/>
    <n v="1"/>
    <n v="79"/>
    <n v="4"/>
    <n v="1"/>
    <n v="3"/>
    <n v="3505"/>
    <n v="19630"/>
    <n v="1"/>
    <n v="18"/>
    <x v="0"/>
    <n v="4"/>
    <n v="80"/>
    <n v="0"/>
    <n v="2"/>
    <n v="3"/>
    <n v="2"/>
    <n v="2"/>
    <n v="0"/>
    <n v="2"/>
  </r>
  <r>
    <s v="Yes"/>
    <s v="Travel_Frequently"/>
    <x v="1"/>
    <s v="Ex-Employees"/>
    <x v="0"/>
    <x v="0"/>
    <s v="STAFF-785"/>
    <n v="785"/>
    <x v="0"/>
    <x v="0"/>
    <x v="0"/>
    <s v="Yes"/>
    <s v="Y"/>
    <n v="2"/>
    <n v="-2"/>
    <n v="0"/>
    <n v="47"/>
    <n v="1"/>
    <n v="1"/>
    <n v="1"/>
    <n v="0"/>
    <n v="719"/>
    <n v="27"/>
    <x v="0"/>
    <n v="1"/>
    <n v="2"/>
    <n v="77"/>
    <n v="4"/>
    <n v="2"/>
    <n v="1"/>
    <n v="6397"/>
    <n v="10339"/>
    <n v="4"/>
    <n v="12"/>
    <x v="0"/>
    <n v="4"/>
    <n v="80"/>
    <n v="0"/>
    <n v="8"/>
    <n v="3"/>
    <n v="5"/>
    <n v="4"/>
    <n v="1"/>
    <n v="3"/>
  </r>
  <r>
    <s v="No"/>
    <s v="Travel_Rarely"/>
    <x v="2"/>
    <s v="Current Employees"/>
    <x v="0"/>
    <x v="1"/>
    <s v="STAFF-786"/>
    <n v="786"/>
    <x v="1"/>
    <x v="0"/>
    <x v="0"/>
    <s v="No"/>
    <s v="Y"/>
    <n v="5"/>
    <n v="-2"/>
    <n v="0"/>
    <n v="34"/>
    <n v="0"/>
    <m/>
    <n v="0"/>
    <n v="1"/>
    <n v="304"/>
    <n v="2"/>
    <x v="3"/>
    <n v="1"/>
    <n v="4"/>
    <n v="60"/>
    <n v="3"/>
    <n v="2"/>
    <n v="4"/>
    <n v="6274"/>
    <n v="18686"/>
    <n v="1"/>
    <n v="22"/>
    <x v="1"/>
    <n v="3"/>
    <n v="80"/>
    <n v="0"/>
    <n v="6"/>
    <n v="3"/>
    <n v="6"/>
    <n v="5"/>
    <n v="1"/>
    <n v="4"/>
  </r>
  <r>
    <s v="Yes"/>
    <s v="Travel_Rarely"/>
    <x v="3"/>
    <s v="Ex-Employees"/>
    <x v="1"/>
    <x v="2"/>
    <s v="STAFF-787"/>
    <n v="787"/>
    <x v="1"/>
    <x v="5"/>
    <x v="1"/>
    <s v="Yes"/>
    <s v="Y"/>
    <n v="2"/>
    <n v="-2"/>
    <n v="0"/>
    <n v="55"/>
    <n v="1"/>
    <n v="1"/>
    <n v="1"/>
    <n v="0"/>
    <n v="725"/>
    <n v="2"/>
    <x v="3"/>
    <n v="1"/>
    <n v="4"/>
    <n v="78"/>
    <n v="3"/>
    <n v="5"/>
    <n v="3"/>
    <n v="19859"/>
    <n v="21199"/>
    <n v="5"/>
    <n v="13"/>
    <x v="0"/>
    <n v="4"/>
    <n v="80"/>
    <n v="1"/>
    <n v="24"/>
    <n v="3"/>
    <n v="5"/>
    <n v="2"/>
    <n v="1"/>
    <n v="4"/>
  </r>
  <r>
    <s v="No"/>
    <s v="Non-Travel"/>
    <x v="0"/>
    <s v="Current Employees"/>
    <x v="0"/>
    <x v="0"/>
    <s v="STAFF-789"/>
    <n v="789"/>
    <x v="1"/>
    <x v="0"/>
    <x v="0"/>
    <s v="No"/>
    <s v="Y"/>
    <n v="1"/>
    <n v="-2"/>
    <n v="0"/>
    <n v="36"/>
    <n v="0"/>
    <m/>
    <n v="0"/>
    <n v="1"/>
    <n v="1434"/>
    <n v="8"/>
    <x v="2"/>
    <n v="1"/>
    <n v="1"/>
    <n v="76"/>
    <n v="2"/>
    <n v="3"/>
    <n v="1"/>
    <n v="7587"/>
    <n v="14229"/>
    <n v="1"/>
    <n v="15"/>
    <x v="0"/>
    <n v="2"/>
    <n v="80"/>
    <n v="0"/>
    <n v="10"/>
    <n v="3"/>
    <n v="10"/>
    <n v="7"/>
    <n v="0"/>
    <n v="9"/>
  </r>
  <r>
    <s v="No"/>
    <s v="Non-Travel"/>
    <x v="1"/>
    <s v="Current Employees"/>
    <x v="1"/>
    <x v="2"/>
    <s v="STAFF-791"/>
    <n v="791"/>
    <x v="1"/>
    <x v="1"/>
    <x v="1"/>
    <s v="No"/>
    <s v="Y"/>
    <n v="3"/>
    <n v="-2"/>
    <n v="0"/>
    <n v="52"/>
    <n v="0"/>
    <m/>
    <n v="0"/>
    <n v="1"/>
    <n v="715"/>
    <n v="19"/>
    <x v="2"/>
    <n v="1"/>
    <n v="4"/>
    <n v="41"/>
    <n v="3"/>
    <n v="1"/>
    <n v="4"/>
    <n v="4258"/>
    <n v="26589"/>
    <n v="0"/>
    <n v="18"/>
    <x v="0"/>
    <n v="1"/>
    <n v="80"/>
    <n v="1"/>
    <n v="5"/>
    <n v="3"/>
    <n v="4"/>
    <n v="3"/>
    <n v="1"/>
    <n v="2"/>
  </r>
  <r>
    <s v="No"/>
    <s v="Travel_Frequently"/>
    <x v="2"/>
    <s v="Current Employees"/>
    <x v="1"/>
    <x v="0"/>
    <s v="STAFF-792"/>
    <n v="792"/>
    <x v="0"/>
    <x v="2"/>
    <x v="2"/>
    <s v="No"/>
    <s v="Y"/>
    <n v="2"/>
    <n v="-2"/>
    <n v="0"/>
    <n v="26"/>
    <n v="0"/>
    <m/>
    <n v="0"/>
    <n v="1"/>
    <n v="575"/>
    <n v="1"/>
    <x v="0"/>
    <n v="1"/>
    <n v="1"/>
    <n v="71"/>
    <n v="1"/>
    <n v="1"/>
    <n v="1"/>
    <n v="4364"/>
    <n v="5288"/>
    <n v="3"/>
    <n v="14"/>
    <x v="0"/>
    <n v="1"/>
    <n v="80"/>
    <n v="1"/>
    <n v="5"/>
    <n v="3"/>
    <n v="2"/>
    <n v="2"/>
    <n v="2"/>
    <n v="0"/>
  </r>
  <r>
    <s v="No"/>
    <s v="Travel_Rarely"/>
    <x v="2"/>
    <s v="Current Employees"/>
    <x v="1"/>
    <x v="2"/>
    <s v="STAFF-793"/>
    <n v="793"/>
    <x v="0"/>
    <x v="4"/>
    <x v="1"/>
    <s v="No"/>
    <s v="Y"/>
    <n v="3"/>
    <n v="-2"/>
    <n v="0"/>
    <n v="29"/>
    <n v="0"/>
    <m/>
    <n v="0"/>
    <n v="1"/>
    <n v="657"/>
    <n v="27"/>
    <x v="3"/>
    <n v="1"/>
    <n v="2"/>
    <n v="66"/>
    <n v="3"/>
    <n v="2"/>
    <n v="3"/>
    <n v="4335"/>
    <n v="25549"/>
    <n v="4"/>
    <n v="12"/>
    <x v="0"/>
    <n v="1"/>
    <n v="80"/>
    <n v="1"/>
    <n v="11"/>
    <n v="2"/>
    <n v="8"/>
    <n v="7"/>
    <n v="1"/>
    <n v="1"/>
  </r>
  <r>
    <s v="Yes"/>
    <s v="Travel_Rarely"/>
    <x v="2"/>
    <s v="Ex-Employees"/>
    <x v="0"/>
    <x v="4"/>
    <s v="STAFF-796"/>
    <n v="796"/>
    <x v="1"/>
    <x v="0"/>
    <x v="0"/>
    <s v="No"/>
    <s v="Y"/>
    <n v="2"/>
    <n v="-2"/>
    <n v="0"/>
    <n v="26"/>
    <n v="1"/>
    <n v="1"/>
    <n v="1"/>
    <n v="0"/>
    <n v="1146"/>
    <n v="8"/>
    <x v="3"/>
    <n v="1"/>
    <n v="4"/>
    <n v="38"/>
    <n v="2"/>
    <n v="2"/>
    <n v="4"/>
    <n v="5326"/>
    <n v="3064"/>
    <n v="6"/>
    <n v="17"/>
    <x v="0"/>
    <n v="3"/>
    <n v="80"/>
    <n v="0"/>
    <n v="6"/>
    <n v="2"/>
    <n v="4"/>
    <n v="3"/>
    <n v="1"/>
    <n v="2"/>
  </r>
  <r>
    <s v="No"/>
    <s v="Travel_Rarely"/>
    <x v="2"/>
    <s v="Current Employees"/>
    <x v="1"/>
    <x v="0"/>
    <s v="STAFF-797"/>
    <n v="797"/>
    <x v="0"/>
    <x v="1"/>
    <x v="0"/>
    <s v="No"/>
    <s v="Y"/>
    <n v="2"/>
    <n v="-2"/>
    <n v="0"/>
    <n v="34"/>
    <n v="0"/>
    <m/>
    <n v="0"/>
    <n v="1"/>
    <n v="182"/>
    <n v="1"/>
    <x v="2"/>
    <n v="1"/>
    <n v="2"/>
    <n v="72"/>
    <n v="4"/>
    <n v="1"/>
    <n v="1"/>
    <n v="3280"/>
    <n v="13551"/>
    <n v="2"/>
    <n v="16"/>
    <x v="0"/>
    <n v="3"/>
    <n v="80"/>
    <n v="0"/>
    <n v="10"/>
    <n v="3"/>
    <n v="4"/>
    <n v="2"/>
    <n v="1"/>
    <n v="3"/>
  </r>
  <r>
    <s v="No"/>
    <s v="Travel_Rarely"/>
    <x v="1"/>
    <s v="Current Employees"/>
    <x v="1"/>
    <x v="2"/>
    <s v="STAFF-799"/>
    <n v="799"/>
    <x v="0"/>
    <x v="3"/>
    <x v="2"/>
    <s v="Yes"/>
    <s v="Y"/>
    <n v="4"/>
    <n v="-2"/>
    <n v="0"/>
    <n v="54"/>
    <n v="0"/>
    <m/>
    <n v="0"/>
    <n v="1"/>
    <n v="376"/>
    <n v="19"/>
    <x v="2"/>
    <n v="1"/>
    <n v="4"/>
    <n v="95"/>
    <n v="3"/>
    <n v="2"/>
    <n v="3"/>
    <n v="5485"/>
    <n v="22670"/>
    <n v="9"/>
    <n v="11"/>
    <x v="0"/>
    <n v="2"/>
    <n v="80"/>
    <n v="2"/>
    <n v="9"/>
    <n v="3"/>
    <n v="5"/>
    <n v="3"/>
    <n v="1"/>
    <n v="4"/>
  </r>
  <r>
    <s v="No"/>
    <s v="Travel_Frequently"/>
    <x v="2"/>
    <s v="Current Employees"/>
    <x v="0"/>
    <x v="3"/>
    <s v="STAFF-800"/>
    <n v="800"/>
    <x v="1"/>
    <x v="0"/>
    <x v="1"/>
    <s v="No"/>
    <s v="Y"/>
    <n v="3"/>
    <n v="-2"/>
    <n v="0"/>
    <n v="27"/>
    <n v="0"/>
    <m/>
    <n v="0"/>
    <n v="1"/>
    <n v="829"/>
    <n v="8"/>
    <x v="1"/>
    <n v="1"/>
    <n v="3"/>
    <n v="84"/>
    <n v="3"/>
    <n v="2"/>
    <n v="2"/>
    <n v="4342"/>
    <n v="24008"/>
    <n v="0"/>
    <n v="19"/>
    <x v="0"/>
    <n v="2"/>
    <n v="80"/>
    <n v="1"/>
    <n v="5"/>
    <n v="3"/>
    <n v="4"/>
    <n v="2"/>
    <n v="1"/>
    <n v="1"/>
  </r>
  <r>
    <s v="No"/>
    <s v="Travel_Rarely"/>
    <x v="0"/>
    <s v="Current Employees"/>
    <x v="1"/>
    <x v="0"/>
    <s v="STAFF-802"/>
    <n v="802"/>
    <x v="0"/>
    <x v="1"/>
    <x v="2"/>
    <s v="Yes"/>
    <s v="Y"/>
    <n v="3"/>
    <n v="-2"/>
    <n v="0"/>
    <n v="37"/>
    <n v="0"/>
    <m/>
    <n v="0"/>
    <n v="1"/>
    <n v="571"/>
    <n v="10"/>
    <x v="1"/>
    <n v="1"/>
    <n v="4"/>
    <n v="82"/>
    <n v="3"/>
    <n v="1"/>
    <n v="1"/>
    <n v="2782"/>
    <n v="19905"/>
    <n v="0"/>
    <n v="13"/>
    <x v="0"/>
    <n v="2"/>
    <n v="80"/>
    <n v="2"/>
    <n v="6"/>
    <n v="2"/>
    <n v="5"/>
    <n v="3"/>
    <n v="4"/>
    <n v="3"/>
  </r>
  <r>
    <s v="No"/>
    <s v="Travel_Frequently"/>
    <x v="0"/>
    <s v="Current Employees"/>
    <x v="1"/>
    <x v="0"/>
    <s v="STAFF-803"/>
    <n v="803"/>
    <x v="0"/>
    <x v="3"/>
    <x v="0"/>
    <s v="Yes"/>
    <s v="Y"/>
    <n v="2"/>
    <n v="-2"/>
    <n v="0"/>
    <n v="38"/>
    <n v="0"/>
    <m/>
    <n v="0"/>
    <n v="1"/>
    <n v="240"/>
    <n v="2"/>
    <x v="2"/>
    <n v="1"/>
    <n v="1"/>
    <n v="75"/>
    <n v="4"/>
    <n v="2"/>
    <n v="1"/>
    <n v="5980"/>
    <n v="26085"/>
    <n v="6"/>
    <n v="12"/>
    <x v="0"/>
    <n v="4"/>
    <n v="80"/>
    <n v="0"/>
    <n v="17"/>
    <n v="3"/>
    <n v="15"/>
    <n v="7"/>
    <n v="4"/>
    <n v="12"/>
  </r>
  <r>
    <s v="No"/>
    <s v="Travel_Rarely"/>
    <x v="2"/>
    <s v="Current Employees"/>
    <x v="1"/>
    <x v="2"/>
    <s v="STAFF-804"/>
    <n v="804"/>
    <x v="0"/>
    <x v="1"/>
    <x v="0"/>
    <s v="No"/>
    <s v="Y"/>
    <n v="3"/>
    <n v="-2"/>
    <n v="0"/>
    <n v="34"/>
    <n v="0"/>
    <m/>
    <n v="0"/>
    <n v="1"/>
    <n v="121"/>
    <n v="2"/>
    <x v="2"/>
    <n v="1"/>
    <n v="3"/>
    <n v="86"/>
    <n v="2"/>
    <n v="1"/>
    <n v="3"/>
    <n v="4381"/>
    <n v="7530"/>
    <n v="1"/>
    <n v="11"/>
    <x v="0"/>
    <n v="3"/>
    <n v="80"/>
    <n v="0"/>
    <n v="6"/>
    <n v="3"/>
    <n v="6"/>
    <n v="5"/>
    <n v="1"/>
    <n v="3"/>
  </r>
  <r>
    <s v="No"/>
    <s v="Travel_Rarely"/>
    <x v="0"/>
    <s v="Current Employees"/>
    <x v="0"/>
    <x v="0"/>
    <s v="STAFF-805"/>
    <n v="805"/>
    <x v="0"/>
    <x v="6"/>
    <x v="1"/>
    <s v="No"/>
    <s v="Y"/>
    <n v="1"/>
    <n v="-2"/>
    <n v="0"/>
    <n v="35"/>
    <n v="0"/>
    <m/>
    <n v="0"/>
    <n v="1"/>
    <n v="384"/>
    <n v="8"/>
    <x v="2"/>
    <n v="1"/>
    <n v="1"/>
    <n v="72"/>
    <n v="3"/>
    <n v="1"/>
    <n v="1"/>
    <n v="2572"/>
    <n v="20317"/>
    <n v="1"/>
    <n v="16"/>
    <x v="0"/>
    <n v="2"/>
    <n v="80"/>
    <n v="1"/>
    <n v="3"/>
    <n v="2"/>
    <n v="3"/>
    <n v="2"/>
    <n v="0"/>
    <n v="2"/>
  </r>
  <r>
    <s v="No"/>
    <s v="Travel_Rarely"/>
    <x v="2"/>
    <s v="Current Employees"/>
    <x v="1"/>
    <x v="0"/>
    <s v="STAFF-806"/>
    <n v="806"/>
    <x v="1"/>
    <x v="2"/>
    <x v="1"/>
    <s v="No"/>
    <s v="Y"/>
    <n v="2"/>
    <n v="-2"/>
    <n v="0"/>
    <n v="30"/>
    <n v="0"/>
    <m/>
    <n v="0"/>
    <n v="1"/>
    <n v="921"/>
    <n v="1"/>
    <x v="3"/>
    <n v="1"/>
    <n v="4"/>
    <n v="38"/>
    <n v="1"/>
    <n v="1"/>
    <n v="1"/>
    <n v="3833"/>
    <n v="24375"/>
    <n v="3"/>
    <n v="21"/>
    <x v="1"/>
    <n v="3"/>
    <n v="80"/>
    <n v="2"/>
    <n v="7"/>
    <n v="3"/>
    <n v="2"/>
    <n v="2"/>
    <n v="0"/>
    <n v="2"/>
  </r>
  <r>
    <s v="No"/>
    <s v="Travel_Frequently"/>
    <x v="0"/>
    <s v="Current Employees"/>
    <x v="1"/>
    <x v="2"/>
    <s v="STAFF-807"/>
    <n v="807"/>
    <x v="0"/>
    <x v="4"/>
    <x v="1"/>
    <s v="No"/>
    <s v="Y"/>
    <n v="2"/>
    <n v="-2"/>
    <n v="0"/>
    <n v="40"/>
    <n v="0"/>
    <m/>
    <n v="0"/>
    <n v="1"/>
    <n v="791"/>
    <n v="2"/>
    <x v="0"/>
    <n v="1"/>
    <n v="3"/>
    <n v="38"/>
    <n v="4"/>
    <n v="2"/>
    <n v="3"/>
    <n v="4244"/>
    <n v="9931"/>
    <n v="1"/>
    <n v="24"/>
    <x v="1"/>
    <n v="4"/>
    <n v="80"/>
    <n v="1"/>
    <n v="8"/>
    <n v="3"/>
    <n v="8"/>
    <n v="7"/>
    <n v="3"/>
    <n v="7"/>
  </r>
  <r>
    <s v="No"/>
    <s v="Travel_Rarely"/>
    <x v="2"/>
    <s v="Current Employees"/>
    <x v="0"/>
    <x v="0"/>
    <s v="STAFF-808"/>
    <n v="808"/>
    <x v="0"/>
    <x v="0"/>
    <x v="1"/>
    <s v="No"/>
    <s v="Y"/>
    <n v="1"/>
    <n v="-2"/>
    <n v="0"/>
    <n v="34"/>
    <n v="0"/>
    <m/>
    <n v="0"/>
    <n v="1"/>
    <n v="1111"/>
    <n v="8"/>
    <x v="0"/>
    <n v="1"/>
    <n v="3"/>
    <n v="93"/>
    <n v="3"/>
    <n v="2"/>
    <n v="1"/>
    <n v="6500"/>
    <n v="13305"/>
    <n v="5"/>
    <n v="17"/>
    <x v="0"/>
    <n v="2"/>
    <n v="80"/>
    <n v="1"/>
    <n v="6"/>
    <n v="3"/>
    <n v="3"/>
    <n v="2"/>
    <n v="1"/>
    <n v="2"/>
  </r>
  <r>
    <s v="No"/>
    <s v="Travel_Frequently"/>
    <x v="0"/>
    <s v="Current Employees"/>
    <x v="1"/>
    <x v="0"/>
    <s v="STAFF-809"/>
    <n v="809"/>
    <x v="1"/>
    <x v="5"/>
    <x v="2"/>
    <s v="No"/>
    <s v="Y"/>
    <n v="4"/>
    <n v="-2"/>
    <n v="0"/>
    <n v="42"/>
    <n v="0"/>
    <m/>
    <n v="0"/>
    <n v="1"/>
    <n v="570"/>
    <n v="8"/>
    <x v="3"/>
    <n v="1"/>
    <n v="2"/>
    <n v="66"/>
    <n v="3"/>
    <n v="5"/>
    <n v="1"/>
    <n v="18430"/>
    <n v="16225"/>
    <n v="1"/>
    <n v="13"/>
    <x v="0"/>
    <n v="2"/>
    <n v="80"/>
    <n v="1"/>
    <n v="24"/>
    <n v="2"/>
    <n v="24"/>
    <n v="7"/>
    <n v="14"/>
    <n v="9"/>
  </r>
  <r>
    <s v="Yes"/>
    <s v="Travel_Rarely"/>
    <x v="4"/>
    <s v="Ex-Employees"/>
    <x v="1"/>
    <x v="0"/>
    <s v="STAFF-811"/>
    <n v="811"/>
    <x v="1"/>
    <x v="2"/>
    <x v="1"/>
    <s v="Yes"/>
    <s v="Y"/>
    <n v="2"/>
    <n v="-2"/>
    <n v="0"/>
    <n v="23"/>
    <n v="1"/>
    <n v="1"/>
    <n v="1"/>
    <n v="0"/>
    <n v="1243"/>
    <n v="6"/>
    <x v="3"/>
    <n v="1"/>
    <n v="3"/>
    <n v="63"/>
    <n v="4"/>
    <n v="1"/>
    <n v="1"/>
    <n v="1601"/>
    <n v="3445"/>
    <n v="1"/>
    <n v="21"/>
    <x v="1"/>
    <n v="3"/>
    <n v="80"/>
    <n v="2"/>
    <n v="1"/>
    <n v="3"/>
    <n v="0"/>
    <n v="0"/>
    <n v="0"/>
    <n v="0"/>
  </r>
  <r>
    <s v="No"/>
    <s v="Non-Travel"/>
    <x v="4"/>
    <s v="Current Employees"/>
    <x v="1"/>
    <x v="0"/>
    <s v="STAFF-812"/>
    <n v="812"/>
    <x v="1"/>
    <x v="2"/>
    <x v="2"/>
    <s v="No"/>
    <s v="Y"/>
    <n v="4"/>
    <n v="-2"/>
    <n v="0"/>
    <n v="24"/>
    <n v="0"/>
    <m/>
    <n v="0"/>
    <n v="1"/>
    <n v="1092"/>
    <n v="9"/>
    <x v="3"/>
    <n v="1"/>
    <n v="3"/>
    <n v="60"/>
    <n v="2"/>
    <n v="1"/>
    <n v="1"/>
    <n v="2694"/>
    <n v="26551"/>
    <n v="1"/>
    <n v="11"/>
    <x v="0"/>
    <n v="3"/>
    <n v="80"/>
    <n v="3"/>
    <n v="1"/>
    <n v="3"/>
    <n v="1"/>
    <n v="0"/>
    <n v="0"/>
    <n v="0"/>
  </r>
  <r>
    <s v="No"/>
    <s v="Travel_Rarely"/>
    <x v="1"/>
    <s v="Current Employees"/>
    <x v="1"/>
    <x v="0"/>
    <s v="STAFF-813"/>
    <n v="813"/>
    <x v="0"/>
    <x v="2"/>
    <x v="1"/>
    <s v="No"/>
    <s v="Y"/>
    <n v="3"/>
    <n v="-2"/>
    <n v="0"/>
    <n v="52"/>
    <n v="0"/>
    <m/>
    <n v="0"/>
    <n v="1"/>
    <n v="1325"/>
    <n v="11"/>
    <x v="2"/>
    <n v="1"/>
    <n v="4"/>
    <n v="82"/>
    <n v="3"/>
    <n v="2"/>
    <n v="1"/>
    <n v="3149"/>
    <n v="21821"/>
    <n v="8"/>
    <n v="20"/>
    <x v="1"/>
    <n v="2"/>
    <n v="80"/>
    <n v="1"/>
    <n v="9"/>
    <n v="3"/>
    <n v="5"/>
    <n v="2"/>
    <n v="1"/>
    <n v="4"/>
  </r>
  <r>
    <s v="No"/>
    <s v="Travel_Rarely"/>
    <x v="1"/>
    <s v="Current Employees"/>
    <x v="1"/>
    <x v="2"/>
    <s v="STAFF-815"/>
    <n v="815"/>
    <x v="1"/>
    <x v="7"/>
    <x v="1"/>
    <s v="No"/>
    <s v="Y"/>
    <n v="3"/>
    <n v="-2"/>
    <n v="0"/>
    <n v="50"/>
    <n v="0"/>
    <m/>
    <n v="0"/>
    <n v="1"/>
    <n v="691"/>
    <n v="2"/>
    <x v="3"/>
    <n v="1"/>
    <n v="3"/>
    <n v="64"/>
    <n v="3"/>
    <n v="4"/>
    <n v="3"/>
    <n v="17639"/>
    <n v="6881"/>
    <n v="5"/>
    <n v="16"/>
    <x v="0"/>
    <n v="4"/>
    <n v="80"/>
    <n v="0"/>
    <n v="30"/>
    <n v="3"/>
    <n v="4"/>
    <n v="3"/>
    <n v="0"/>
    <n v="3"/>
  </r>
  <r>
    <s v="Yes"/>
    <s v="Travel_Rarely"/>
    <x v="2"/>
    <s v="Ex-Employees"/>
    <x v="1"/>
    <x v="0"/>
    <s v="STAFF-816"/>
    <n v="816"/>
    <x v="0"/>
    <x v="2"/>
    <x v="1"/>
    <s v="Yes"/>
    <s v="Y"/>
    <n v="1"/>
    <n v="-2"/>
    <n v="0"/>
    <n v="29"/>
    <n v="1"/>
    <n v="1"/>
    <n v="1"/>
    <n v="0"/>
    <n v="805"/>
    <n v="1"/>
    <x v="0"/>
    <n v="1"/>
    <n v="2"/>
    <n v="36"/>
    <n v="2"/>
    <n v="1"/>
    <n v="1"/>
    <n v="2319"/>
    <n v="6689"/>
    <n v="1"/>
    <n v="11"/>
    <x v="0"/>
    <n v="4"/>
    <n v="80"/>
    <n v="1"/>
    <n v="1"/>
    <n v="3"/>
    <n v="1"/>
    <n v="0"/>
    <n v="0"/>
    <n v="0"/>
  </r>
  <r>
    <s v="No"/>
    <s v="Travel_Rarely"/>
    <x v="2"/>
    <s v="Current Employees"/>
    <x v="1"/>
    <x v="2"/>
    <s v="STAFF-817"/>
    <n v="817"/>
    <x v="1"/>
    <x v="7"/>
    <x v="1"/>
    <s v="No"/>
    <s v="Y"/>
    <n v="3"/>
    <n v="-2"/>
    <n v="0"/>
    <n v="33"/>
    <n v="0"/>
    <m/>
    <n v="0"/>
    <n v="1"/>
    <n v="213"/>
    <n v="7"/>
    <x v="3"/>
    <n v="1"/>
    <n v="3"/>
    <n v="49"/>
    <n v="3"/>
    <n v="3"/>
    <n v="3"/>
    <n v="11691"/>
    <n v="25995"/>
    <n v="0"/>
    <n v="11"/>
    <x v="0"/>
    <n v="4"/>
    <n v="80"/>
    <n v="0"/>
    <n v="14"/>
    <n v="4"/>
    <n v="13"/>
    <n v="9"/>
    <n v="3"/>
    <n v="7"/>
  </r>
  <r>
    <s v="Yes"/>
    <s v="Travel_Rarely"/>
    <x v="2"/>
    <s v="Ex-Employees"/>
    <x v="0"/>
    <x v="3"/>
    <s v="STAFF-819"/>
    <n v="819"/>
    <x v="0"/>
    <x v="0"/>
    <x v="0"/>
    <s v="No"/>
    <s v="Y"/>
    <n v="3"/>
    <n v="-2"/>
    <n v="0"/>
    <n v="33"/>
    <n v="1"/>
    <n v="1"/>
    <n v="1"/>
    <n v="0"/>
    <n v="118"/>
    <n v="16"/>
    <x v="3"/>
    <n v="1"/>
    <n v="1"/>
    <n v="69"/>
    <n v="3"/>
    <n v="2"/>
    <n v="2"/>
    <n v="5324"/>
    <n v="26507"/>
    <n v="5"/>
    <n v="15"/>
    <x v="0"/>
    <n v="3"/>
    <n v="80"/>
    <n v="0"/>
    <n v="6"/>
    <n v="3"/>
    <n v="3"/>
    <n v="2"/>
    <n v="0"/>
    <n v="2"/>
  </r>
  <r>
    <s v="No"/>
    <s v="Travel_Rarely"/>
    <x v="1"/>
    <s v="Current Employees"/>
    <x v="1"/>
    <x v="1"/>
    <s v="STAFF-820"/>
    <n v="820"/>
    <x v="0"/>
    <x v="5"/>
    <x v="1"/>
    <s v="Yes"/>
    <s v="Y"/>
    <n v="3"/>
    <n v="-2"/>
    <n v="0"/>
    <n v="47"/>
    <n v="0"/>
    <m/>
    <n v="0"/>
    <n v="1"/>
    <n v="202"/>
    <n v="2"/>
    <x v="0"/>
    <n v="1"/>
    <n v="3"/>
    <n v="33"/>
    <n v="3"/>
    <n v="4"/>
    <n v="4"/>
    <n v="16752"/>
    <n v="12982"/>
    <n v="1"/>
    <n v="11"/>
    <x v="0"/>
    <n v="3"/>
    <n v="80"/>
    <n v="1"/>
    <n v="26"/>
    <n v="2"/>
    <n v="26"/>
    <n v="14"/>
    <n v="3"/>
    <n v="0"/>
  </r>
  <r>
    <s v="No"/>
    <s v="Travel_Rarely"/>
    <x v="0"/>
    <s v="Current Employees"/>
    <x v="1"/>
    <x v="1"/>
    <s v="STAFF-823"/>
    <n v="823"/>
    <x v="0"/>
    <x v="3"/>
    <x v="1"/>
    <s v="No"/>
    <s v="Y"/>
    <n v="2"/>
    <n v="-2"/>
    <n v="0"/>
    <n v="36"/>
    <n v="0"/>
    <m/>
    <n v="0"/>
    <n v="1"/>
    <n v="676"/>
    <n v="1"/>
    <x v="3"/>
    <n v="1"/>
    <n v="3"/>
    <n v="35"/>
    <n v="3"/>
    <n v="2"/>
    <n v="3"/>
    <n v="5228"/>
    <n v="23361"/>
    <n v="0"/>
    <n v="15"/>
    <x v="0"/>
    <n v="1"/>
    <n v="80"/>
    <n v="1"/>
    <n v="10"/>
    <n v="3"/>
    <n v="9"/>
    <n v="7"/>
    <n v="0"/>
    <n v="5"/>
  </r>
  <r>
    <s v="No"/>
    <s v="Travel_Rarely"/>
    <x v="2"/>
    <s v="Current Employees"/>
    <x v="1"/>
    <x v="0"/>
    <s v="STAFF-824"/>
    <n v="824"/>
    <x v="1"/>
    <x v="1"/>
    <x v="1"/>
    <s v="No"/>
    <s v="Y"/>
    <n v="3"/>
    <n v="-2"/>
    <n v="0"/>
    <n v="29"/>
    <n v="0"/>
    <m/>
    <n v="0"/>
    <n v="1"/>
    <n v="1252"/>
    <n v="23"/>
    <x v="0"/>
    <n v="1"/>
    <n v="3"/>
    <n v="81"/>
    <n v="4"/>
    <n v="1"/>
    <n v="1"/>
    <n v="2700"/>
    <n v="23779"/>
    <n v="1"/>
    <n v="24"/>
    <x v="1"/>
    <n v="3"/>
    <n v="80"/>
    <n v="1"/>
    <n v="10"/>
    <n v="3"/>
    <n v="10"/>
    <n v="7"/>
    <n v="0"/>
    <n v="7"/>
  </r>
  <r>
    <s v="Yes"/>
    <s v="Travel_Rarely"/>
    <x v="3"/>
    <s v="Ex-Employees"/>
    <x v="1"/>
    <x v="0"/>
    <s v="STAFF-825"/>
    <n v="825"/>
    <x v="1"/>
    <x v="7"/>
    <x v="0"/>
    <s v="Yes"/>
    <s v="Y"/>
    <n v="2"/>
    <n v="-2"/>
    <n v="0"/>
    <n v="58"/>
    <n v="1"/>
    <n v="1"/>
    <n v="1"/>
    <n v="0"/>
    <n v="286"/>
    <n v="2"/>
    <x v="2"/>
    <n v="1"/>
    <n v="4"/>
    <n v="31"/>
    <n v="3"/>
    <n v="5"/>
    <n v="1"/>
    <n v="19246"/>
    <n v="25761"/>
    <n v="7"/>
    <n v="12"/>
    <x v="0"/>
    <n v="4"/>
    <n v="80"/>
    <n v="0"/>
    <n v="40"/>
    <n v="3"/>
    <n v="31"/>
    <n v="15"/>
    <n v="13"/>
    <n v="8"/>
  </r>
  <r>
    <s v="No"/>
    <s v="Travel_Rarely"/>
    <x v="0"/>
    <s v="Current Employees"/>
    <x v="1"/>
    <x v="0"/>
    <s v="STAFF-826"/>
    <n v="826"/>
    <x v="0"/>
    <x v="1"/>
    <x v="0"/>
    <s v="No"/>
    <s v="Y"/>
    <n v="0"/>
    <n v="-2"/>
    <n v="0"/>
    <n v="35"/>
    <n v="0"/>
    <m/>
    <n v="0"/>
    <n v="1"/>
    <n v="1258"/>
    <n v="1"/>
    <x v="2"/>
    <n v="1"/>
    <n v="4"/>
    <n v="40"/>
    <n v="4"/>
    <n v="1"/>
    <n v="1"/>
    <n v="2506"/>
    <n v="13301"/>
    <n v="3"/>
    <n v="13"/>
    <x v="0"/>
    <n v="3"/>
    <n v="80"/>
    <n v="0"/>
    <n v="7"/>
    <n v="3"/>
    <n v="2"/>
    <n v="2"/>
    <n v="2"/>
    <n v="2"/>
  </r>
  <r>
    <s v="No"/>
    <s v="Travel_Rarely"/>
    <x v="0"/>
    <s v="Current Employees"/>
    <x v="1"/>
    <x v="0"/>
    <s v="STAFF-827"/>
    <n v="827"/>
    <x v="0"/>
    <x v="3"/>
    <x v="1"/>
    <s v="Yes"/>
    <s v="Y"/>
    <n v="4"/>
    <n v="-2"/>
    <n v="0"/>
    <n v="42"/>
    <n v="0"/>
    <m/>
    <n v="0"/>
    <n v="1"/>
    <n v="932"/>
    <n v="1"/>
    <x v="0"/>
    <n v="1"/>
    <n v="4"/>
    <n v="43"/>
    <n v="2"/>
    <n v="2"/>
    <n v="1"/>
    <n v="6062"/>
    <n v="4051"/>
    <n v="9"/>
    <n v="13"/>
    <x v="0"/>
    <n v="4"/>
    <n v="80"/>
    <n v="1"/>
    <n v="8"/>
    <n v="3"/>
    <n v="4"/>
    <n v="3"/>
    <n v="0"/>
    <n v="2"/>
  </r>
  <r>
    <s v="Yes"/>
    <s v="Travel_Rarely"/>
    <x v="2"/>
    <s v="Ex-Employees"/>
    <x v="1"/>
    <x v="2"/>
    <s v="STAFF-828"/>
    <n v="828"/>
    <x v="1"/>
    <x v="1"/>
    <x v="0"/>
    <s v="No"/>
    <s v="Y"/>
    <n v="3"/>
    <n v="-2"/>
    <n v="0"/>
    <n v="28"/>
    <n v="1"/>
    <n v="1"/>
    <n v="1"/>
    <n v="0"/>
    <n v="890"/>
    <n v="2"/>
    <x v="2"/>
    <n v="1"/>
    <n v="3"/>
    <n v="46"/>
    <n v="3"/>
    <n v="1"/>
    <n v="3"/>
    <n v="4382"/>
    <n v="16374"/>
    <n v="6"/>
    <n v="17"/>
    <x v="0"/>
    <n v="4"/>
    <n v="80"/>
    <n v="0"/>
    <n v="5"/>
    <n v="2"/>
    <n v="2"/>
    <n v="2"/>
    <n v="2"/>
    <n v="1"/>
  </r>
  <r>
    <s v="No"/>
    <s v="Travel_Rarely"/>
    <x v="0"/>
    <s v="Current Employees"/>
    <x v="2"/>
    <x v="5"/>
    <s v="STAFF-829"/>
    <n v="829"/>
    <x v="1"/>
    <x v="8"/>
    <x v="1"/>
    <s v="No"/>
    <s v="Y"/>
    <n v="2"/>
    <n v="-2"/>
    <n v="0"/>
    <n v="36"/>
    <n v="0"/>
    <m/>
    <n v="0"/>
    <n v="1"/>
    <n v="1041"/>
    <n v="13"/>
    <x v="3"/>
    <n v="1"/>
    <n v="3"/>
    <n v="36"/>
    <n v="3"/>
    <n v="1"/>
    <n v="3"/>
    <n v="2143"/>
    <n v="25527"/>
    <n v="4"/>
    <n v="13"/>
    <x v="0"/>
    <n v="2"/>
    <n v="80"/>
    <n v="1"/>
    <n v="8"/>
    <n v="3"/>
    <n v="5"/>
    <n v="2"/>
    <n v="0"/>
    <n v="4"/>
  </r>
  <r>
    <s v="No"/>
    <s v="Travel_Rarely"/>
    <x v="2"/>
    <s v="Current Employees"/>
    <x v="1"/>
    <x v="0"/>
    <s v="STAFF-830"/>
    <n v="830"/>
    <x v="0"/>
    <x v="3"/>
    <x v="1"/>
    <s v="No"/>
    <s v="Y"/>
    <n v="3"/>
    <n v="-2"/>
    <n v="0"/>
    <n v="32"/>
    <n v="0"/>
    <m/>
    <n v="0"/>
    <n v="1"/>
    <n v="859"/>
    <n v="4"/>
    <x v="3"/>
    <n v="1"/>
    <n v="3"/>
    <n v="98"/>
    <n v="2"/>
    <n v="2"/>
    <n v="1"/>
    <n v="6162"/>
    <n v="19124"/>
    <n v="1"/>
    <n v="12"/>
    <x v="0"/>
    <n v="3"/>
    <n v="80"/>
    <n v="1"/>
    <n v="14"/>
    <n v="3"/>
    <n v="14"/>
    <n v="13"/>
    <n v="6"/>
    <n v="8"/>
  </r>
  <r>
    <s v="No"/>
    <s v="Travel_Frequently"/>
    <x v="0"/>
    <s v="Current Employees"/>
    <x v="1"/>
    <x v="2"/>
    <s v="STAFF-832"/>
    <n v="832"/>
    <x v="1"/>
    <x v="2"/>
    <x v="0"/>
    <s v="No"/>
    <s v="Y"/>
    <n v="6"/>
    <n v="-2"/>
    <n v="0"/>
    <n v="40"/>
    <n v="0"/>
    <m/>
    <n v="0"/>
    <n v="1"/>
    <n v="720"/>
    <n v="16"/>
    <x v="2"/>
    <n v="1"/>
    <n v="1"/>
    <n v="51"/>
    <n v="2"/>
    <n v="2"/>
    <n v="3"/>
    <n v="5094"/>
    <n v="11983"/>
    <n v="6"/>
    <n v="14"/>
    <x v="0"/>
    <n v="4"/>
    <n v="80"/>
    <n v="0"/>
    <n v="10"/>
    <n v="3"/>
    <n v="1"/>
    <n v="0"/>
    <n v="0"/>
    <n v="0"/>
  </r>
  <r>
    <s v="No"/>
    <s v="Travel_Rarely"/>
    <x v="2"/>
    <s v="Current Employees"/>
    <x v="1"/>
    <x v="2"/>
    <s v="STAFF-833"/>
    <n v="833"/>
    <x v="0"/>
    <x v="3"/>
    <x v="0"/>
    <s v="Yes"/>
    <s v="Y"/>
    <n v="4"/>
    <n v="-2"/>
    <n v="0"/>
    <n v="30"/>
    <n v="0"/>
    <m/>
    <n v="0"/>
    <n v="1"/>
    <n v="946"/>
    <n v="2"/>
    <x v="3"/>
    <n v="1"/>
    <n v="3"/>
    <n v="52"/>
    <n v="2"/>
    <n v="2"/>
    <n v="4"/>
    <n v="6877"/>
    <n v="20234"/>
    <n v="5"/>
    <n v="24"/>
    <x v="1"/>
    <n v="2"/>
    <n v="80"/>
    <n v="0"/>
    <n v="12"/>
    <n v="2"/>
    <n v="0"/>
    <n v="0"/>
    <n v="0"/>
    <n v="0"/>
  </r>
  <r>
    <s v="No"/>
    <s v="Travel_Rarely"/>
    <x v="1"/>
    <s v="Current Employees"/>
    <x v="1"/>
    <x v="0"/>
    <s v="STAFF-834"/>
    <n v="834"/>
    <x v="0"/>
    <x v="1"/>
    <x v="0"/>
    <s v="No"/>
    <s v="Y"/>
    <n v="3"/>
    <n v="-2"/>
    <n v="0"/>
    <n v="45"/>
    <n v="0"/>
    <m/>
    <n v="0"/>
    <n v="1"/>
    <n v="252"/>
    <n v="2"/>
    <x v="3"/>
    <n v="1"/>
    <n v="2"/>
    <n v="95"/>
    <n v="2"/>
    <n v="1"/>
    <n v="1"/>
    <n v="2274"/>
    <n v="6153"/>
    <n v="1"/>
    <n v="14"/>
    <x v="0"/>
    <n v="4"/>
    <n v="80"/>
    <n v="0"/>
    <n v="1"/>
    <n v="3"/>
    <n v="1"/>
    <n v="0"/>
    <n v="0"/>
    <n v="0"/>
  </r>
  <r>
    <s v="No"/>
    <s v="Travel_Rarely"/>
    <x v="0"/>
    <s v="Current Employees"/>
    <x v="1"/>
    <x v="0"/>
    <s v="STAFF-836"/>
    <n v="836"/>
    <x v="1"/>
    <x v="3"/>
    <x v="1"/>
    <s v="No"/>
    <s v="Y"/>
    <n v="3"/>
    <n v="-2"/>
    <n v="0"/>
    <n v="42"/>
    <n v="0"/>
    <m/>
    <n v="0"/>
    <n v="1"/>
    <n v="933"/>
    <n v="29"/>
    <x v="3"/>
    <n v="1"/>
    <n v="2"/>
    <n v="98"/>
    <n v="3"/>
    <n v="2"/>
    <n v="1"/>
    <n v="4434"/>
    <n v="11806"/>
    <n v="1"/>
    <n v="13"/>
    <x v="0"/>
    <n v="4"/>
    <n v="80"/>
    <n v="1"/>
    <n v="10"/>
    <n v="2"/>
    <n v="9"/>
    <n v="8"/>
    <n v="7"/>
    <n v="8"/>
  </r>
  <r>
    <s v="No"/>
    <s v="Travel_Frequently"/>
    <x v="0"/>
    <s v="Current Employees"/>
    <x v="1"/>
    <x v="0"/>
    <s v="STAFF-837"/>
    <n v="837"/>
    <x v="1"/>
    <x v="4"/>
    <x v="2"/>
    <s v="No"/>
    <s v="Y"/>
    <n v="3"/>
    <n v="-2"/>
    <n v="0"/>
    <n v="38"/>
    <n v="0"/>
    <m/>
    <n v="0"/>
    <n v="1"/>
    <n v="471"/>
    <n v="12"/>
    <x v="3"/>
    <n v="1"/>
    <n v="1"/>
    <n v="45"/>
    <n v="2"/>
    <n v="2"/>
    <n v="1"/>
    <n v="6288"/>
    <n v="4284"/>
    <n v="2"/>
    <n v="15"/>
    <x v="0"/>
    <n v="3"/>
    <n v="80"/>
    <n v="1"/>
    <n v="13"/>
    <n v="2"/>
    <n v="4"/>
    <n v="3"/>
    <n v="1"/>
    <n v="2"/>
  </r>
  <r>
    <s v="No"/>
    <s v="Travel_Frequently"/>
    <x v="2"/>
    <s v="Current Employees"/>
    <x v="1"/>
    <x v="0"/>
    <s v="STAFF-838"/>
    <n v="838"/>
    <x v="0"/>
    <x v="1"/>
    <x v="0"/>
    <s v="No"/>
    <s v="Y"/>
    <n v="3"/>
    <n v="-2"/>
    <n v="0"/>
    <n v="34"/>
    <n v="0"/>
    <m/>
    <n v="0"/>
    <n v="1"/>
    <n v="702"/>
    <n v="16"/>
    <x v="2"/>
    <n v="1"/>
    <n v="3"/>
    <n v="100"/>
    <n v="2"/>
    <n v="1"/>
    <n v="1"/>
    <n v="2553"/>
    <n v="8306"/>
    <n v="1"/>
    <n v="16"/>
    <x v="0"/>
    <n v="3"/>
    <n v="80"/>
    <n v="0"/>
    <n v="6"/>
    <n v="3"/>
    <n v="5"/>
    <n v="2"/>
    <n v="1"/>
    <n v="3"/>
  </r>
  <r>
    <s v="Yes"/>
    <s v="Travel_Rarely"/>
    <x v="1"/>
    <s v="Ex-Employees"/>
    <x v="0"/>
    <x v="3"/>
    <s v="STAFF-840"/>
    <n v="840"/>
    <x v="0"/>
    <x v="0"/>
    <x v="1"/>
    <s v="No"/>
    <s v="Y"/>
    <n v="3"/>
    <n v="-2"/>
    <n v="0"/>
    <n v="49"/>
    <n v="1"/>
    <n v="1"/>
    <n v="1"/>
    <n v="0"/>
    <n v="1184"/>
    <n v="11"/>
    <x v="3"/>
    <n v="1"/>
    <n v="3"/>
    <n v="43"/>
    <n v="3"/>
    <n v="3"/>
    <n v="2"/>
    <n v="7654"/>
    <n v="5860"/>
    <n v="1"/>
    <n v="18"/>
    <x v="0"/>
    <n v="1"/>
    <n v="80"/>
    <n v="2"/>
    <n v="9"/>
    <n v="4"/>
    <n v="9"/>
    <n v="8"/>
    <n v="7"/>
    <n v="7"/>
  </r>
  <r>
    <s v="Yes"/>
    <s v="Travel_Rarely"/>
    <x v="3"/>
    <s v="Ex-Employees"/>
    <x v="0"/>
    <x v="2"/>
    <s v="STAFF-842"/>
    <n v="842"/>
    <x v="1"/>
    <x v="0"/>
    <x v="0"/>
    <s v="No"/>
    <s v="Y"/>
    <n v="3"/>
    <n v="-2"/>
    <n v="0"/>
    <n v="55"/>
    <n v="1"/>
    <n v="1"/>
    <n v="1"/>
    <n v="0"/>
    <n v="436"/>
    <n v="2"/>
    <x v="1"/>
    <n v="1"/>
    <n v="3"/>
    <n v="37"/>
    <n v="3"/>
    <n v="2"/>
    <n v="4"/>
    <n v="5160"/>
    <n v="21519"/>
    <n v="4"/>
    <n v="16"/>
    <x v="0"/>
    <n v="3"/>
    <n v="80"/>
    <n v="0"/>
    <n v="12"/>
    <n v="2"/>
    <n v="9"/>
    <n v="7"/>
    <n v="7"/>
    <n v="3"/>
  </r>
  <r>
    <s v="No"/>
    <s v="Travel_Rarely"/>
    <x v="0"/>
    <s v="Current Employees"/>
    <x v="1"/>
    <x v="0"/>
    <s v="STAFF-843"/>
    <n v="843"/>
    <x v="1"/>
    <x v="7"/>
    <x v="1"/>
    <s v="No"/>
    <s v="Y"/>
    <n v="3"/>
    <n v="-2"/>
    <n v="0"/>
    <n v="43"/>
    <n v="0"/>
    <m/>
    <n v="0"/>
    <n v="1"/>
    <n v="589"/>
    <n v="14"/>
    <x v="0"/>
    <n v="1"/>
    <n v="2"/>
    <n v="94"/>
    <n v="3"/>
    <n v="4"/>
    <n v="1"/>
    <n v="17159"/>
    <n v="5200"/>
    <n v="6"/>
    <n v="24"/>
    <x v="1"/>
    <n v="3"/>
    <n v="80"/>
    <n v="1"/>
    <n v="22"/>
    <n v="3"/>
    <n v="4"/>
    <n v="1"/>
    <n v="1"/>
    <n v="0"/>
  </r>
  <r>
    <s v="No"/>
    <s v="Travel_Rarely"/>
    <x v="2"/>
    <s v="Current Employees"/>
    <x v="1"/>
    <x v="4"/>
    <s v="STAFF-844"/>
    <n v="844"/>
    <x v="1"/>
    <x v="7"/>
    <x v="2"/>
    <s v="Yes"/>
    <s v="Y"/>
    <n v="3"/>
    <n v="-2"/>
    <n v="0"/>
    <n v="27"/>
    <n v="0"/>
    <m/>
    <n v="0"/>
    <n v="1"/>
    <n v="269"/>
    <n v="5"/>
    <x v="1"/>
    <n v="1"/>
    <n v="4"/>
    <n v="42"/>
    <n v="2"/>
    <n v="3"/>
    <n v="4"/>
    <n v="12808"/>
    <n v="8842"/>
    <n v="1"/>
    <n v="16"/>
    <x v="0"/>
    <n v="2"/>
    <n v="80"/>
    <n v="1"/>
    <n v="9"/>
    <n v="3"/>
    <n v="9"/>
    <n v="8"/>
    <n v="0"/>
    <n v="8"/>
  </r>
  <r>
    <s v="No"/>
    <s v="Travel_Rarely"/>
    <x v="0"/>
    <s v="Current Employees"/>
    <x v="1"/>
    <x v="1"/>
    <s v="STAFF-845"/>
    <n v="845"/>
    <x v="1"/>
    <x v="3"/>
    <x v="0"/>
    <s v="No"/>
    <s v="Y"/>
    <n v="3"/>
    <n v="-2"/>
    <n v="0"/>
    <n v="35"/>
    <n v="0"/>
    <m/>
    <n v="0"/>
    <n v="1"/>
    <n v="950"/>
    <n v="7"/>
    <x v="3"/>
    <n v="1"/>
    <n v="3"/>
    <n v="59"/>
    <n v="3"/>
    <n v="3"/>
    <n v="3"/>
    <n v="10221"/>
    <n v="18869"/>
    <n v="3"/>
    <n v="21"/>
    <x v="1"/>
    <n v="2"/>
    <n v="80"/>
    <n v="0"/>
    <n v="17"/>
    <n v="4"/>
    <n v="8"/>
    <n v="5"/>
    <n v="1"/>
    <n v="6"/>
  </r>
  <r>
    <s v="No"/>
    <s v="Travel_Rarely"/>
    <x v="2"/>
    <s v="Current Employees"/>
    <x v="0"/>
    <x v="3"/>
    <s v="STAFF-846"/>
    <n v="846"/>
    <x v="0"/>
    <x v="0"/>
    <x v="1"/>
    <s v="Yes"/>
    <s v="Y"/>
    <n v="2"/>
    <n v="-2"/>
    <n v="0"/>
    <n v="28"/>
    <n v="0"/>
    <m/>
    <n v="0"/>
    <n v="1"/>
    <n v="760"/>
    <n v="2"/>
    <x v="2"/>
    <n v="1"/>
    <n v="2"/>
    <n v="81"/>
    <n v="3"/>
    <n v="2"/>
    <n v="2"/>
    <n v="4779"/>
    <n v="3698"/>
    <n v="1"/>
    <n v="20"/>
    <x v="1"/>
    <n v="1"/>
    <n v="80"/>
    <n v="0"/>
    <n v="8"/>
    <n v="3"/>
    <n v="8"/>
    <n v="7"/>
    <n v="7"/>
    <n v="5"/>
  </r>
  <r>
    <s v="No"/>
    <s v="Travel_Rarely"/>
    <x v="2"/>
    <s v="Current Employees"/>
    <x v="2"/>
    <x v="5"/>
    <s v="STAFF-847"/>
    <n v="847"/>
    <x v="1"/>
    <x v="8"/>
    <x v="1"/>
    <s v="No"/>
    <s v="Y"/>
    <n v="1"/>
    <n v="-2"/>
    <n v="0"/>
    <n v="34"/>
    <n v="0"/>
    <m/>
    <n v="0"/>
    <n v="1"/>
    <n v="829"/>
    <n v="3"/>
    <x v="0"/>
    <n v="1"/>
    <n v="3"/>
    <n v="88"/>
    <n v="3"/>
    <n v="1"/>
    <n v="4"/>
    <n v="3737"/>
    <n v="2243"/>
    <n v="0"/>
    <n v="19"/>
    <x v="0"/>
    <n v="3"/>
    <n v="80"/>
    <n v="1"/>
    <n v="4"/>
    <n v="1"/>
    <n v="3"/>
    <n v="2"/>
    <n v="0"/>
    <n v="2"/>
  </r>
  <r>
    <s v="Yes"/>
    <s v="Travel_Frequently"/>
    <x v="2"/>
    <s v="Ex-Employees"/>
    <x v="1"/>
    <x v="2"/>
    <s v="STAFF-848"/>
    <n v="848"/>
    <x v="0"/>
    <x v="1"/>
    <x v="1"/>
    <s v="Yes"/>
    <s v="Y"/>
    <n v="2"/>
    <n v="-2"/>
    <n v="0"/>
    <n v="26"/>
    <n v="1"/>
    <n v="1"/>
    <n v="1"/>
    <n v="0"/>
    <n v="887"/>
    <n v="5"/>
    <x v="0"/>
    <n v="1"/>
    <n v="3"/>
    <n v="88"/>
    <n v="2"/>
    <n v="1"/>
    <n v="3"/>
    <n v="2366"/>
    <n v="20898"/>
    <n v="1"/>
    <n v="14"/>
    <x v="0"/>
    <n v="1"/>
    <n v="80"/>
    <n v="1"/>
    <n v="8"/>
    <n v="3"/>
    <n v="8"/>
    <n v="7"/>
    <n v="1"/>
    <n v="7"/>
  </r>
  <r>
    <s v="No"/>
    <s v="Non-Travel"/>
    <x v="2"/>
    <s v="Current Employees"/>
    <x v="1"/>
    <x v="2"/>
    <s v="STAFF-850"/>
    <n v="850"/>
    <x v="1"/>
    <x v="1"/>
    <x v="1"/>
    <s v="No"/>
    <s v="Y"/>
    <n v="6"/>
    <n v="-2"/>
    <n v="0"/>
    <n v="27"/>
    <n v="0"/>
    <m/>
    <n v="0"/>
    <n v="1"/>
    <n v="443"/>
    <n v="3"/>
    <x v="3"/>
    <n v="1"/>
    <n v="4"/>
    <n v="50"/>
    <n v="3"/>
    <n v="1"/>
    <n v="4"/>
    <n v="1706"/>
    <n v="16571"/>
    <n v="1"/>
    <n v="11"/>
    <x v="0"/>
    <n v="3"/>
    <n v="80"/>
    <n v="3"/>
    <n v="0"/>
    <n v="2"/>
    <n v="0"/>
    <n v="0"/>
    <n v="0"/>
    <n v="0"/>
  </r>
  <r>
    <s v="No"/>
    <s v="Travel_Rarely"/>
    <x v="1"/>
    <s v="Current Employees"/>
    <x v="0"/>
    <x v="3"/>
    <s v="STAFF-851"/>
    <n v="851"/>
    <x v="0"/>
    <x v="5"/>
    <x v="1"/>
    <s v="No"/>
    <s v="Y"/>
    <n v="2"/>
    <n v="-2"/>
    <n v="0"/>
    <n v="51"/>
    <n v="0"/>
    <m/>
    <n v="0"/>
    <n v="1"/>
    <n v="1318"/>
    <n v="26"/>
    <x v="2"/>
    <n v="1"/>
    <n v="1"/>
    <n v="66"/>
    <n v="3"/>
    <n v="4"/>
    <n v="2"/>
    <n v="16307"/>
    <n v="5594"/>
    <n v="2"/>
    <n v="14"/>
    <x v="0"/>
    <n v="3"/>
    <n v="80"/>
    <n v="1"/>
    <n v="29"/>
    <n v="2"/>
    <n v="20"/>
    <n v="6"/>
    <n v="4"/>
    <n v="17"/>
  </r>
  <r>
    <s v="No"/>
    <s v="Travel_Rarely"/>
    <x v="0"/>
    <s v="Current Employees"/>
    <x v="1"/>
    <x v="2"/>
    <s v="STAFF-852"/>
    <n v="852"/>
    <x v="1"/>
    <x v="4"/>
    <x v="0"/>
    <s v="No"/>
    <s v="Y"/>
    <n v="2"/>
    <n v="-2"/>
    <n v="0"/>
    <n v="44"/>
    <n v="0"/>
    <m/>
    <n v="0"/>
    <n v="1"/>
    <n v="625"/>
    <n v="4"/>
    <x v="3"/>
    <n v="1"/>
    <n v="4"/>
    <n v="50"/>
    <n v="3"/>
    <n v="2"/>
    <n v="3"/>
    <n v="5933"/>
    <n v="5197"/>
    <n v="9"/>
    <n v="12"/>
    <x v="0"/>
    <n v="4"/>
    <n v="80"/>
    <n v="0"/>
    <n v="10"/>
    <n v="2"/>
    <n v="5"/>
    <n v="2"/>
    <n v="2"/>
    <n v="3"/>
  </r>
  <r>
    <s v="No"/>
    <s v="Travel_Rarely"/>
    <x v="2"/>
    <s v="Current Employees"/>
    <x v="1"/>
    <x v="2"/>
    <s v="STAFF-854"/>
    <n v="854"/>
    <x v="1"/>
    <x v="1"/>
    <x v="0"/>
    <s v="No"/>
    <s v="Y"/>
    <n v="3"/>
    <n v="-2"/>
    <n v="0"/>
    <n v="25"/>
    <n v="0"/>
    <m/>
    <n v="0"/>
    <n v="1"/>
    <n v="180"/>
    <n v="2"/>
    <x v="1"/>
    <n v="1"/>
    <n v="1"/>
    <n v="65"/>
    <n v="4"/>
    <n v="1"/>
    <n v="3"/>
    <n v="3424"/>
    <n v="21632"/>
    <n v="7"/>
    <n v="13"/>
    <x v="0"/>
    <n v="3"/>
    <n v="80"/>
    <n v="0"/>
    <n v="6"/>
    <n v="2"/>
    <n v="4"/>
    <n v="3"/>
    <n v="0"/>
    <n v="1"/>
  </r>
  <r>
    <s v="No"/>
    <s v="Travel_Rarely"/>
    <x v="2"/>
    <s v="Current Employees"/>
    <x v="0"/>
    <x v="2"/>
    <s v="STAFF-855"/>
    <n v="855"/>
    <x v="1"/>
    <x v="0"/>
    <x v="2"/>
    <s v="No"/>
    <s v="Y"/>
    <n v="5"/>
    <n v="-2"/>
    <n v="0"/>
    <n v="33"/>
    <n v="0"/>
    <m/>
    <n v="0"/>
    <n v="1"/>
    <n v="586"/>
    <n v="1"/>
    <x v="3"/>
    <n v="1"/>
    <n v="1"/>
    <n v="48"/>
    <n v="4"/>
    <n v="2"/>
    <n v="3"/>
    <n v="4037"/>
    <n v="21816"/>
    <n v="1"/>
    <n v="22"/>
    <x v="1"/>
    <n v="1"/>
    <n v="80"/>
    <n v="1"/>
    <n v="9"/>
    <n v="3"/>
    <n v="9"/>
    <n v="8"/>
    <n v="0"/>
    <n v="8"/>
  </r>
  <r>
    <s v="No"/>
    <s v="Travel_Rarely"/>
    <x v="0"/>
    <s v="Current Employees"/>
    <x v="1"/>
    <x v="2"/>
    <s v="STAFF-856"/>
    <n v="856"/>
    <x v="0"/>
    <x v="1"/>
    <x v="0"/>
    <s v="No"/>
    <s v="Y"/>
    <n v="3"/>
    <n v="-2"/>
    <n v="0"/>
    <n v="35"/>
    <n v="0"/>
    <m/>
    <n v="0"/>
    <n v="1"/>
    <n v="1343"/>
    <n v="27"/>
    <x v="1"/>
    <n v="1"/>
    <n v="3"/>
    <n v="53"/>
    <n v="2"/>
    <n v="1"/>
    <n v="3"/>
    <n v="2559"/>
    <n v="17852"/>
    <n v="1"/>
    <n v="11"/>
    <x v="0"/>
    <n v="4"/>
    <n v="80"/>
    <n v="0"/>
    <n v="6"/>
    <n v="2"/>
    <n v="6"/>
    <n v="5"/>
    <n v="1"/>
    <n v="1"/>
  </r>
  <r>
    <s v="No"/>
    <s v="Travel_Rarely"/>
    <x v="0"/>
    <s v="Current Employees"/>
    <x v="0"/>
    <x v="0"/>
    <s v="STAFF-857"/>
    <n v="857"/>
    <x v="1"/>
    <x v="0"/>
    <x v="1"/>
    <s v="Yes"/>
    <s v="Y"/>
    <n v="1"/>
    <n v="-2"/>
    <n v="0"/>
    <n v="36"/>
    <n v="0"/>
    <m/>
    <n v="0"/>
    <n v="1"/>
    <n v="928"/>
    <n v="1"/>
    <x v="0"/>
    <n v="1"/>
    <n v="2"/>
    <n v="56"/>
    <n v="3"/>
    <n v="2"/>
    <n v="1"/>
    <n v="6201"/>
    <n v="2823"/>
    <n v="1"/>
    <n v="14"/>
    <x v="0"/>
    <n v="4"/>
    <n v="80"/>
    <n v="1"/>
    <n v="18"/>
    <n v="2"/>
    <n v="18"/>
    <n v="14"/>
    <n v="4"/>
    <n v="11"/>
  </r>
  <r>
    <s v="No"/>
    <s v="Travel_Rarely"/>
    <x v="2"/>
    <s v="Current Employees"/>
    <x v="0"/>
    <x v="0"/>
    <s v="STAFF-859"/>
    <n v="859"/>
    <x v="1"/>
    <x v="0"/>
    <x v="2"/>
    <s v="No"/>
    <s v="Y"/>
    <n v="3"/>
    <n v="-2"/>
    <n v="0"/>
    <n v="32"/>
    <n v="0"/>
    <m/>
    <n v="0"/>
    <n v="1"/>
    <n v="117"/>
    <n v="13"/>
    <x v="2"/>
    <n v="1"/>
    <n v="2"/>
    <n v="73"/>
    <n v="3"/>
    <n v="2"/>
    <n v="1"/>
    <n v="4403"/>
    <n v="9250"/>
    <n v="2"/>
    <n v="11"/>
    <x v="0"/>
    <n v="3"/>
    <n v="80"/>
    <n v="1"/>
    <n v="8"/>
    <n v="2"/>
    <n v="5"/>
    <n v="2"/>
    <n v="0"/>
    <n v="3"/>
  </r>
  <r>
    <s v="No"/>
    <s v="Travel_Frequently"/>
    <x v="2"/>
    <s v="Current Employees"/>
    <x v="1"/>
    <x v="0"/>
    <s v="STAFF-861"/>
    <n v="861"/>
    <x v="1"/>
    <x v="1"/>
    <x v="2"/>
    <s v="No"/>
    <s v="Y"/>
    <n v="3"/>
    <n v="-2"/>
    <n v="0"/>
    <n v="30"/>
    <n v="0"/>
    <m/>
    <n v="0"/>
    <n v="1"/>
    <n v="1012"/>
    <n v="5"/>
    <x v="2"/>
    <n v="1"/>
    <n v="2"/>
    <n v="75"/>
    <n v="2"/>
    <n v="1"/>
    <n v="1"/>
    <n v="3761"/>
    <n v="2373"/>
    <n v="9"/>
    <n v="12"/>
    <x v="0"/>
    <n v="2"/>
    <n v="80"/>
    <n v="1"/>
    <n v="10"/>
    <n v="2"/>
    <n v="5"/>
    <n v="4"/>
    <n v="0"/>
    <n v="3"/>
  </r>
  <r>
    <s v="No"/>
    <s v="Travel_Rarely"/>
    <x v="1"/>
    <s v="Current Employees"/>
    <x v="0"/>
    <x v="3"/>
    <s v="STAFF-862"/>
    <n v="862"/>
    <x v="0"/>
    <x v="0"/>
    <x v="1"/>
    <s v="Yes"/>
    <s v="Y"/>
    <n v="3"/>
    <n v="-2"/>
    <n v="0"/>
    <n v="53"/>
    <n v="0"/>
    <m/>
    <n v="0"/>
    <n v="1"/>
    <n v="661"/>
    <n v="7"/>
    <x v="0"/>
    <n v="1"/>
    <n v="1"/>
    <n v="78"/>
    <n v="2"/>
    <n v="3"/>
    <n v="2"/>
    <n v="10934"/>
    <n v="20715"/>
    <n v="7"/>
    <n v="18"/>
    <x v="0"/>
    <n v="4"/>
    <n v="80"/>
    <n v="1"/>
    <n v="35"/>
    <n v="3"/>
    <n v="5"/>
    <n v="2"/>
    <n v="0"/>
    <n v="4"/>
  </r>
  <r>
    <s v="No"/>
    <s v="Travel_Rarely"/>
    <x v="1"/>
    <s v="Current Employees"/>
    <x v="0"/>
    <x v="3"/>
    <s v="STAFF-864"/>
    <n v="864"/>
    <x v="1"/>
    <x v="0"/>
    <x v="2"/>
    <s v="Yes"/>
    <s v="Y"/>
    <n v="2"/>
    <n v="-2"/>
    <n v="0"/>
    <n v="45"/>
    <n v="0"/>
    <m/>
    <n v="0"/>
    <n v="1"/>
    <n v="930"/>
    <n v="9"/>
    <x v="3"/>
    <n v="1"/>
    <n v="4"/>
    <n v="74"/>
    <n v="3"/>
    <n v="3"/>
    <n v="2"/>
    <n v="10761"/>
    <n v="19239"/>
    <n v="4"/>
    <n v="12"/>
    <x v="0"/>
    <n v="3"/>
    <n v="80"/>
    <n v="1"/>
    <n v="18"/>
    <n v="3"/>
    <n v="5"/>
    <n v="4"/>
    <n v="0"/>
    <n v="2"/>
  </r>
  <r>
    <s v="No"/>
    <s v="Travel_Rarely"/>
    <x v="2"/>
    <s v="Current Employees"/>
    <x v="1"/>
    <x v="2"/>
    <s v="STAFF-865"/>
    <n v="865"/>
    <x v="0"/>
    <x v="1"/>
    <x v="1"/>
    <s v="No"/>
    <s v="Y"/>
    <n v="3"/>
    <n v="-2"/>
    <n v="0"/>
    <n v="32"/>
    <n v="0"/>
    <m/>
    <n v="0"/>
    <n v="1"/>
    <n v="638"/>
    <n v="8"/>
    <x v="0"/>
    <n v="1"/>
    <n v="3"/>
    <n v="91"/>
    <n v="4"/>
    <n v="2"/>
    <n v="3"/>
    <n v="5175"/>
    <n v="22162"/>
    <n v="5"/>
    <n v="12"/>
    <x v="0"/>
    <n v="3"/>
    <n v="80"/>
    <n v="1"/>
    <n v="9"/>
    <n v="2"/>
    <n v="5"/>
    <n v="3"/>
    <n v="1"/>
    <n v="3"/>
  </r>
  <r>
    <s v="No"/>
    <s v="Travel_Frequently"/>
    <x v="1"/>
    <s v="Current Employees"/>
    <x v="1"/>
    <x v="2"/>
    <s v="STAFF-867"/>
    <n v="867"/>
    <x v="0"/>
    <x v="3"/>
    <x v="1"/>
    <s v="No"/>
    <s v="Y"/>
    <n v="3"/>
    <n v="-2"/>
    <n v="0"/>
    <n v="52"/>
    <n v="0"/>
    <m/>
    <n v="0"/>
    <n v="1"/>
    <n v="890"/>
    <n v="25"/>
    <x v="2"/>
    <n v="1"/>
    <n v="3"/>
    <n v="81"/>
    <n v="2"/>
    <n v="4"/>
    <n v="4"/>
    <n v="13826"/>
    <n v="19028"/>
    <n v="3"/>
    <n v="22"/>
    <x v="1"/>
    <n v="3"/>
    <n v="80"/>
    <n v="0"/>
    <n v="31"/>
    <n v="3"/>
    <n v="9"/>
    <n v="8"/>
    <n v="0"/>
    <n v="0"/>
  </r>
  <r>
    <s v="No"/>
    <s v="Travel_Rarely"/>
    <x v="0"/>
    <s v="Current Employees"/>
    <x v="0"/>
    <x v="3"/>
    <s v="STAFF-868"/>
    <n v="868"/>
    <x v="1"/>
    <x v="0"/>
    <x v="2"/>
    <s v="No"/>
    <s v="Y"/>
    <n v="2"/>
    <n v="-2"/>
    <n v="0"/>
    <n v="37"/>
    <n v="0"/>
    <m/>
    <n v="0"/>
    <n v="1"/>
    <n v="342"/>
    <n v="16"/>
    <x v="2"/>
    <n v="1"/>
    <n v="4"/>
    <n v="66"/>
    <n v="2"/>
    <n v="2"/>
    <n v="2"/>
    <n v="6334"/>
    <n v="24558"/>
    <n v="4"/>
    <n v="19"/>
    <x v="0"/>
    <n v="4"/>
    <n v="80"/>
    <n v="2"/>
    <n v="9"/>
    <n v="3"/>
    <n v="1"/>
    <n v="0"/>
    <n v="0"/>
    <n v="0"/>
  </r>
  <r>
    <s v="No"/>
    <s v="Travel_Rarely"/>
    <x v="2"/>
    <s v="Current Employees"/>
    <x v="2"/>
    <x v="2"/>
    <s v="STAFF-869"/>
    <n v="869"/>
    <x v="1"/>
    <x v="8"/>
    <x v="2"/>
    <s v="No"/>
    <s v="Y"/>
    <n v="6"/>
    <n v="-2"/>
    <n v="0"/>
    <n v="28"/>
    <n v="0"/>
    <m/>
    <n v="0"/>
    <n v="1"/>
    <n v="1169"/>
    <n v="8"/>
    <x v="0"/>
    <n v="1"/>
    <n v="2"/>
    <n v="63"/>
    <n v="2"/>
    <n v="1"/>
    <n v="4"/>
    <n v="4936"/>
    <n v="23965"/>
    <n v="1"/>
    <n v="13"/>
    <x v="0"/>
    <n v="4"/>
    <n v="80"/>
    <n v="1"/>
    <n v="6"/>
    <n v="3"/>
    <n v="5"/>
    <n v="1"/>
    <n v="0"/>
    <n v="4"/>
  </r>
  <r>
    <s v="No"/>
    <s v="Travel_Rarely"/>
    <x v="4"/>
    <s v="Current Employees"/>
    <x v="1"/>
    <x v="0"/>
    <s v="STAFF-872"/>
    <n v="872"/>
    <x v="1"/>
    <x v="3"/>
    <x v="1"/>
    <s v="No"/>
    <s v="Y"/>
    <n v="2"/>
    <n v="-2"/>
    <n v="0"/>
    <n v="22"/>
    <n v="0"/>
    <m/>
    <n v="0"/>
    <n v="1"/>
    <n v="1230"/>
    <n v="1"/>
    <x v="0"/>
    <n v="1"/>
    <n v="4"/>
    <n v="33"/>
    <n v="2"/>
    <n v="2"/>
    <n v="1"/>
    <n v="4775"/>
    <n v="19146"/>
    <n v="6"/>
    <n v="22"/>
    <x v="1"/>
    <n v="1"/>
    <n v="80"/>
    <n v="2"/>
    <n v="4"/>
    <n v="1"/>
    <n v="2"/>
    <n v="2"/>
    <n v="2"/>
    <n v="2"/>
  </r>
  <r>
    <s v="No"/>
    <s v="Travel_Rarely"/>
    <x v="0"/>
    <s v="Current Employees"/>
    <x v="1"/>
    <x v="0"/>
    <s v="STAFF-874"/>
    <n v="874"/>
    <x v="1"/>
    <x v="2"/>
    <x v="1"/>
    <s v="Yes"/>
    <s v="Y"/>
    <n v="2"/>
    <n v="-2"/>
    <n v="0"/>
    <n v="44"/>
    <n v="0"/>
    <m/>
    <n v="0"/>
    <n v="1"/>
    <n v="986"/>
    <n v="8"/>
    <x v="2"/>
    <n v="1"/>
    <n v="1"/>
    <n v="62"/>
    <n v="4"/>
    <n v="1"/>
    <n v="1"/>
    <n v="2818"/>
    <n v="5044"/>
    <n v="2"/>
    <n v="24"/>
    <x v="1"/>
    <n v="3"/>
    <n v="80"/>
    <n v="1"/>
    <n v="10"/>
    <n v="2"/>
    <n v="3"/>
    <n v="2"/>
    <n v="0"/>
    <n v="2"/>
  </r>
  <r>
    <s v="No"/>
    <s v="Travel_Frequently"/>
    <x v="0"/>
    <s v="Current Employees"/>
    <x v="1"/>
    <x v="2"/>
    <s v="STAFF-875"/>
    <n v="875"/>
    <x v="1"/>
    <x v="1"/>
    <x v="0"/>
    <s v="Yes"/>
    <s v="Y"/>
    <n v="2"/>
    <n v="-2"/>
    <n v="0"/>
    <n v="42"/>
    <n v="0"/>
    <m/>
    <n v="0"/>
    <n v="1"/>
    <n v="1271"/>
    <n v="2"/>
    <x v="1"/>
    <n v="1"/>
    <n v="2"/>
    <n v="35"/>
    <n v="3"/>
    <n v="1"/>
    <n v="4"/>
    <n v="2515"/>
    <n v="9068"/>
    <n v="5"/>
    <n v="14"/>
    <x v="0"/>
    <n v="4"/>
    <n v="80"/>
    <n v="0"/>
    <n v="8"/>
    <n v="3"/>
    <n v="2"/>
    <n v="1"/>
    <n v="2"/>
    <n v="2"/>
  </r>
  <r>
    <s v="No"/>
    <s v="Travel_Rarely"/>
    <x v="0"/>
    <s v="Current Employees"/>
    <x v="2"/>
    <x v="0"/>
    <s v="STAFF-878"/>
    <n v="878"/>
    <x v="1"/>
    <x v="8"/>
    <x v="1"/>
    <s v="No"/>
    <s v="Y"/>
    <n v="3"/>
    <n v="-2"/>
    <n v="0"/>
    <n v="36"/>
    <n v="0"/>
    <m/>
    <n v="0"/>
    <n v="1"/>
    <n v="1278"/>
    <n v="8"/>
    <x v="3"/>
    <n v="1"/>
    <n v="1"/>
    <n v="77"/>
    <n v="2"/>
    <n v="1"/>
    <n v="1"/>
    <n v="2342"/>
    <n v="8635"/>
    <n v="0"/>
    <n v="21"/>
    <x v="1"/>
    <n v="3"/>
    <n v="80"/>
    <n v="0"/>
    <n v="6"/>
    <n v="3"/>
    <n v="5"/>
    <n v="4"/>
    <n v="0"/>
    <n v="3"/>
  </r>
  <r>
    <s v="No"/>
    <s v="Travel_Rarely"/>
    <x v="2"/>
    <s v="Current Employees"/>
    <x v="0"/>
    <x v="1"/>
    <s v="STAFF-879"/>
    <n v="879"/>
    <x v="1"/>
    <x v="0"/>
    <x v="1"/>
    <s v="Yes"/>
    <s v="Y"/>
    <n v="3"/>
    <n v="-2"/>
    <n v="0"/>
    <n v="25"/>
    <n v="0"/>
    <m/>
    <n v="0"/>
    <n v="1"/>
    <n v="141"/>
    <n v="3"/>
    <x v="1"/>
    <n v="1"/>
    <n v="3"/>
    <n v="98"/>
    <n v="3"/>
    <n v="2"/>
    <n v="3"/>
    <n v="4194"/>
    <n v="14363"/>
    <n v="1"/>
    <n v="18"/>
    <x v="0"/>
    <n v="4"/>
    <n v="80"/>
    <n v="0"/>
    <n v="5"/>
    <n v="3"/>
    <n v="5"/>
    <n v="3"/>
    <n v="0"/>
    <n v="3"/>
  </r>
  <r>
    <s v="No"/>
    <s v="Travel_Rarely"/>
    <x v="0"/>
    <s v="Current Employees"/>
    <x v="1"/>
    <x v="0"/>
    <s v="STAFF-880"/>
    <n v="880"/>
    <x v="0"/>
    <x v="3"/>
    <x v="1"/>
    <s v="Yes"/>
    <s v="Y"/>
    <n v="2"/>
    <n v="-2"/>
    <n v="0"/>
    <n v="35"/>
    <n v="0"/>
    <m/>
    <n v="0"/>
    <n v="1"/>
    <n v="607"/>
    <n v="9"/>
    <x v="3"/>
    <n v="1"/>
    <n v="4"/>
    <n v="66"/>
    <n v="2"/>
    <n v="3"/>
    <n v="1"/>
    <n v="10685"/>
    <n v="23457"/>
    <n v="1"/>
    <n v="20"/>
    <x v="1"/>
    <n v="2"/>
    <n v="80"/>
    <n v="1"/>
    <n v="17"/>
    <n v="3"/>
    <n v="17"/>
    <n v="14"/>
    <n v="5"/>
    <n v="15"/>
  </r>
  <r>
    <s v="Yes"/>
    <s v="Travel_Frequently"/>
    <x v="0"/>
    <s v="Ex-Employees"/>
    <x v="1"/>
    <x v="0"/>
    <s v="STAFF-881"/>
    <n v="881"/>
    <x v="0"/>
    <x v="1"/>
    <x v="2"/>
    <s v="Yes"/>
    <s v="Y"/>
    <n v="3"/>
    <n v="-2"/>
    <n v="0"/>
    <n v="35"/>
    <n v="1"/>
    <n v="1"/>
    <n v="1"/>
    <n v="0"/>
    <n v="130"/>
    <n v="25"/>
    <x v="2"/>
    <n v="1"/>
    <n v="4"/>
    <n v="96"/>
    <n v="3"/>
    <n v="1"/>
    <n v="1"/>
    <n v="2022"/>
    <n v="16612"/>
    <n v="1"/>
    <n v="19"/>
    <x v="0"/>
    <n v="1"/>
    <n v="80"/>
    <n v="1"/>
    <n v="10"/>
    <n v="2"/>
    <n v="10"/>
    <n v="2"/>
    <n v="7"/>
    <n v="8"/>
  </r>
  <r>
    <s v="No"/>
    <s v="Non-Travel"/>
    <x v="2"/>
    <s v="Current Employees"/>
    <x v="1"/>
    <x v="0"/>
    <s v="STAFF-882"/>
    <n v="882"/>
    <x v="1"/>
    <x v="2"/>
    <x v="2"/>
    <s v="No"/>
    <s v="Y"/>
    <n v="2"/>
    <n v="-2"/>
    <n v="0"/>
    <n v="32"/>
    <n v="0"/>
    <m/>
    <n v="0"/>
    <n v="1"/>
    <n v="300"/>
    <n v="1"/>
    <x v="3"/>
    <n v="1"/>
    <n v="4"/>
    <n v="61"/>
    <n v="3"/>
    <n v="1"/>
    <n v="1"/>
    <n v="2314"/>
    <n v="9148"/>
    <n v="0"/>
    <n v="12"/>
    <x v="0"/>
    <n v="2"/>
    <n v="80"/>
    <n v="1"/>
    <n v="4"/>
    <n v="3"/>
    <n v="3"/>
    <n v="0"/>
    <n v="0"/>
    <n v="2"/>
  </r>
  <r>
    <s v="No"/>
    <s v="Travel_Rarely"/>
    <x v="2"/>
    <s v="Current Employees"/>
    <x v="0"/>
    <x v="3"/>
    <s v="STAFF-885"/>
    <n v="885"/>
    <x v="1"/>
    <x v="0"/>
    <x v="1"/>
    <s v="No"/>
    <s v="Y"/>
    <n v="1"/>
    <n v="-2"/>
    <n v="0"/>
    <n v="25"/>
    <n v="0"/>
    <m/>
    <n v="0"/>
    <n v="1"/>
    <n v="583"/>
    <n v="4"/>
    <x v="1"/>
    <n v="1"/>
    <n v="3"/>
    <n v="87"/>
    <n v="2"/>
    <n v="2"/>
    <n v="2"/>
    <n v="4256"/>
    <n v="18154"/>
    <n v="1"/>
    <n v="12"/>
    <x v="0"/>
    <n v="1"/>
    <n v="80"/>
    <n v="0"/>
    <n v="5"/>
    <n v="4"/>
    <n v="5"/>
    <n v="2"/>
    <n v="0"/>
    <n v="3"/>
  </r>
  <r>
    <s v="No"/>
    <s v="Travel_Rarely"/>
    <x v="1"/>
    <s v="Current Employees"/>
    <x v="1"/>
    <x v="4"/>
    <s v="STAFF-887"/>
    <n v="887"/>
    <x v="0"/>
    <x v="1"/>
    <x v="1"/>
    <s v="No"/>
    <s v="Y"/>
    <n v="2"/>
    <n v="-2"/>
    <n v="0"/>
    <n v="49"/>
    <n v="0"/>
    <m/>
    <n v="0"/>
    <n v="1"/>
    <n v="1418"/>
    <n v="1"/>
    <x v="3"/>
    <n v="1"/>
    <n v="4"/>
    <n v="36"/>
    <n v="3"/>
    <n v="1"/>
    <n v="4"/>
    <n v="3580"/>
    <n v="10554"/>
    <n v="2"/>
    <n v="16"/>
    <x v="0"/>
    <n v="2"/>
    <n v="80"/>
    <n v="1"/>
    <n v="7"/>
    <n v="3"/>
    <n v="4"/>
    <n v="2"/>
    <n v="0"/>
    <n v="2"/>
  </r>
  <r>
    <s v="No"/>
    <s v="Non-Travel"/>
    <x v="4"/>
    <s v="Current Employees"/>
    <x v="1"/>
    <x v="0"/>
    <s v="STAFF-888"/>
    <n v="888"/>
    <x v="1"/>
    <x v="2"/>
    <x v="1"/>
    <s v="No"/>
    <s v="Y"/>
    <n v="2"/>
    <n v="-2"/>
    <n v="0"/>
    <n v="24"/>
    <n v="0"/>
    <m/>
    <n v="0"/>
    <n v="1"/>
    <n v="1269"/>
    <n v="4"/>
    <x v="1"/>
    <n v="1"/>
    <n v="1"/>
    <n v="46"/>
    <n v="2"/>
    <n v="1"/>
    <n v="1"/>
    <n v="3162"/>
    <n v="10778"/>
    <n v="0"/>
    <n v="17"/>
    <x v="0"/>
    <n v="4"/>
    <n v="80"/>
    <n v="0"/>
    <n v="6"/>
    <n v="2"/>
    <n v="5"/>
    <n v="2"/>
    <n v="3"/>
    <n v="4"/>
  </r>
  <r>
    <s v="No"/>
    <s v="Travel_Frequently"/>
    <x v="2"/>
    <s v="Current Employees"/>
    <x v="0"/>
    <x v="0"/>
    <s v="STAFF-889"/>
    <n v="889"/>
    <x v="1"/>
    <x v="0"/>
    <x v="1"/>
    <s v="No"/>
    <s v="Y"/>
    <n v="3"/>
    <n v="-2"/>
    <n v="0"/>
    <n v="32"/>
    <n v="0"/>
    <m/>
    <n v="0"/>
    <n v="1"/>
    <n v="379"/>
    <n v="5"/>
    <x v="0"/>
    <n v="1"/>
    <n v="2"/>
    <n v="48"/>
    <n v="3"/>
    <n v="2"/>
    <n v="1"/>
    <n v="6524"/>
    <n v="8891"/>
    <n v="1"/>
    <n v="14"/>
    <x v="0"/>
    <n v="4"/>
    <n v="80"/>
    <n v="1"/>
    <n v="10"/>
    <n v="3"/>
    <n v="10"/>
    <n v="8"/>
    <n v="5"/>
    <n v="3"/>
  </r>
  <r>
    <s v="No"/>
    <s v="Travel_Rarely"/>
    <x v="0"/>
    <s v="Current Employees"/>
    <x v="0"/>
    <x v="3"/>
    <s v="STAFF-893"/>
    <n v="893"/>
    <x v="1"/>
    <x v="6"/>
    <x v="1"/>
    <s v="No"/>
    <s v="Y"/>
    <n v="3"/>
    <n v="-2"/>
    <n v="0"/>
    <n v="38"/>
    <n v="0"/>
    <m/>
    <n v="0"/>
    <n v="1"/>
    <n v="395"/>
    <n v="9"/>
    <x v="3"/>
    <n v="1"/>
    <n v="2"/>
    <n v="98"/>
    <n v="2"/>
    <n v="1"/>
    <n v="2"/>
    <n v="2899"/>
    <n v="12102"/>
    <n v="0"/>
    <n v="19"/>
    <x v="0"/>
    <n v="4"/>
    <n v="80"/>
    <n v="1"/>
    <n v="3"/>
    <n v="3"/>
    <n v="2"/>
    <n v="2"/>
    <n v="1"/>
    <n v="2"/>
  </r>
  <r>
    <s v="No"/>
    <s v="Travel_Rarely"/>
    <x v="0"/>
    <s v="Current Employees"/>
    <x v="1"/>
    <x v="0"/>
    <s v="STAFF-894"/>
    <n v="894"/>
    <x v="0"/>
    <x v="2"/>
    <x v="1"/>
    <s v="Yes"/>
    <s v="Y"/>
    <n v="1"/>
    <n v="-2"/>
    <n v="0"/>
    <n v="42"/>
    <n v="0"/>
    <m/>
    <n v="0"/>
    <n v="1"/>
    <n v="1265"/>
    <n v="3"/>
    <x v="3"/>
    <n v="1"/>
    <n v="3"/>
    <n v="95"/>
    <n v="4"/>
    <n v="2"/>
    <n v="1"/>
    <n v="5231"/>
    <n v="23726"/>
    <n v="2"/>
    <n v="13"/>
    <x v="0"/>
    <n v="2"/>
    <n v="80"/>
    <n v="1"/>
    <n v="17"/>
    <n v="2"/>
    <n v="5"/>
    <n v="3"/>
    <n v="1"/>
    <n v="3"/>
  </r>
  <r>
    <s v="No"/>
    <s v="Travel_Rarely"/>
    <x v="2"/>
    <s v="Current Employees"/>
    <x v="1"/>
    <x v="0"/>
    <s v="STAFF-895"/>
    <n v="895"/>
    <x v="1"/>
    <x v="1"/>
    <x v="1"/>
    <s v="Yes"/>
    <s v="Y"/>
    <n v="2"/>
    <n v="-2"/>
    <n v="0"/>
    <n v="31"/>
    <n v="0"/>
    <m/>
    <n v="0"/>
    <n v="1"/>
    <n v="1222"/>
    <n v="11"/>
    <x v="2"/>
    <n v="1"/>
    <n v="4"/>
    <n v="48"/>
    <n v="3"/>
    <n v="1"/>
    <n v="1"/>
    <n v="2356"/>
    <n v="14871"/>
    <n v="3"/>
    <n v="19"/>
    <x v="0"/>
    <n v="2"/>
    <n v="80"/>
    <n v="1"/>
    <n v="8"/>
    <n v="3"/>
    <n v="6"/>
    <n v="4"/>
    <n v="0"/>
    <n v="2"/>
  </r>
  <r>
    <s v="Yes"/>
    <s v="Travel_Rarely"/>
    <x v="2"/>
    <s v="Ex-Employees"/>
    <x v="0"/>
    <x v="2"/>
    <s v="STAFF-896"/>
    <n v="896"/>
    <x v="0"/>
    <x v="6"/>
    <x v="2"/>
    <s v="Yes"/>
    <s v="Y"/>
    <n v="3"/>
    <n v="-2"/>
    <n v="0"/>
    <n v="29"/>
    <n v="1"/>
    <n v="1"/>
    <n v="1"/>
    <n v="0"/>
    <n v="341"/>
    <n v="1"/>
    <x v="3"/>
    <n v="1"/>
    <n v="2"/>
    <n v="48"/>
    <n v="2"/>
    <n v="1"/>
    <n v="3"/>
    <n v="2800"/>
    <n v="23522"/>
    <n v="6"/>
    <n v="19"/>
    <x v="0"/>
    <n v="3"/>
    <n v="80"/>
    <n v="3"/>
    <n v="5"/>
    <n v="3"/>
    <n v="3"/>
    <n v="2"/>
    <n v="0"/>
    <n v="2"/>
  </r>
  <r>
    <s v="No"/>
    <s v="Travel_Rarely"/>
    <x v="1"/>
    <s v="Current Employees"/>
    <x v="0"/>
    <x v="3"/>
    <s v="STAFF-897"/>
    <n v="897"/>
    <x v="1"/>
    <x v="0"/>
    <x v="1"/>
    <s v="No"/>
    <s v="Y"/>
    <n v="3"/>
    <n v="-2"/>
    <n v="0"/>
    <n v="53"/>
    <n v="0"/>
    <m/>
    <n v="0"/>
    <n v="1"/>
    <n v="868"/>
    <n v="8"/>
    <x v="3"/>
    <n v="1"/>
    <n v="1"/>
    <n v="73"/>
    <n v="3"/>
    <n v="4"/>
    <n v="2"/>
    <n v="11836"/>
    <n v="22789"/>
    <n v="5"/>
    <n v="14"/>
    <x v="0"/>
    <n v="3"/>
    <n v="80"/>
    <n v="1"/>
    <n v="28"/>
    <n v="3"/>
    <n v="2"/>
    <n v="0"/>
    <n v="2"/>
    <n v="2"/>
  </r>
  <r>
    <s v="No"/>
    <s v="Travel_Rarely"/>
    <x v="0"/>
    <s v="Current Employees"/>
    <x v="1"/>
    <x v="4"/>
    <s v="STAFF-899"/>
    <n v="899"/>
    <x v="1"/>
    <x v="3"/>
    <x v="1"/>
    <s v="No"/>
    <s v="Y"/>
    <n v="2"/>
    <n v="-2"/>
    <n v="0"/>
    <n v="35"/>
    <n v="0"/>
    <m/>
    <n v="0"/>
    <n v="1"/>
    <n v="672"/>
    <n v="25"/>
    <x v="3"/>
    <n v="1"/>
    <n v="4"/>
    <n v="78"/>
    <n v="2"/>
    <n v="3"/>
    <n v="4"/>
    <n v="10903"/>
    <n v="9129"/>
    <n v="3"/>
    <n v="16"/>
    <x v="0"/>
    <n v="1"/>
    <n v="80"/>
    <n v="0"/>
    <n v="16"/>
    <n v="3"/>
    <n v="13"/>
    <n v="10"/>
    <n v="4"/>
    <n v="8"/>
  </r>
  <r>
    <s v="No"/>
    <s v="Travel_Frequently"/>
    <x v="0"/>
    <s v="Current Employees"/>
    <x v="0"/>
    <x v="2"/>
    <s v="STAFF-900"/>
    <n v="900"/>
    <x v="0"/>
    <x v="6"/>
    <x v="1"/>
    <s v="No"/>
    <s v="Y"/>
    <n v="3"/>
    <n v="-2"/>
    <n v="0"/>
    <n v="37"/>
    <n v="0"/>
    <m/>
    <n v="0"/>
    <n v="1"/>
    <n v="1231"/>
    <n v="21"/>
    <x v="0"/>
    <n v="1"/>
    <n v="3"/>
    <n v="54"/>
    <n v="3"/>
    <n v="1"/>
    <n v="4"/>
    <n v="2973"/>
    <n v="21222"/>
    <n v="5"/>
    <n v="15"/>
    <x v="0"/>
    <n v="2"/>
    <n v="80"/>
    <n v="1"/>
    <n v="10"/>
    <n v="3"/>
    <n v="5"/>
    <n v="4"/>
    <n v="0"/>
    <n v="0"/>
  </r>
  <r>
    <s v="No"/>
    <s v="Travel_Rarely"/>
    <x v="1"/>
    <s v="Current Employees"/>
    <x v="1"/>
    <x v="0"/>
    <s v="STAFF-901"/>
    <n v="901"/>
    <x v="0"/>
    <x v="7"/>
    <x v="0"/>
    <s v="No"/>
    <s v="Y"/>
    <n v="0"/>
    <n v="-2"/>
    <n v="0"/>
    <n v="53"/>
    <n v="0"/>
    <m/>
    <n v="0"/>
    <n v="1"/>
    <n v="102"/>
    <n v="23"/>
    <x v="2"/>
    <n v="1"/>
    <n v="4"/>
    <n v="72"/>
    <n v="3"/>
    <n v="4"/>
    <n v="1"/>
    <n v="14275"/>
    <n v="20206"/>
    <n v="6"/>
    <n v="18"/>
    <x v="0"/>
    <n v="3"/>
    <n v="80"/>
    <n v="0"/>
    <n v="33"/>
    <n v="3"/>
    <n v="12"/>
    <n v="9"/>
    <n v="3"/>
    <n v="8"/>
  </r>
  <r>
    <s v="No"/>
    <s v="Travel_Frequently"/>
    <x v="0"/>
    <s v="Current Employees"/>
    <x v="1"/>
    <x v="0"/>
    <s v="STAFF-902"/>
    <n v="902"/>
    <x v="0"/>
    <x v="4"/>
    <x v="1"/>
    <s v="No"/>
    <s v="Y"/>
    <n v="2"/>
    <n v="-2"/>
    <n v="0"/>
    <n v="43"/>
    <n v="0"/>
    <m/>
    <n v="0"/>
    <n v="1"/>
    <n v="422"/>
    <n v="1"/>
    <x v="3"/>
    <n v="1"/>
    <n v="4"/>
    <n v="33"/>
    <n v="3"/>
    <n v="2"/>
    <n v="1"/>
    <n v="5562"/>
    <n v="21782"/>
    <n v="4"/>
    <n v="13"/>
    <x v="0"/>
    <n v="2"/>
    <n v="80"/>
    <n v="1"/>
    <n v="12"/>
    <n v="2"/>
    <n v="5"/>
    <n v="2"/>
    <n v="2"/>
    <n v="2"/>
  </r>
  <r>
    <s v="No"/>
    <s v="Travel_Rarely"/>
    <x v="1"/>
    <s v="Current Employees"/>
    <x v="0"/>
    <x v="3"/>
    <s v="STAFF-903"/>
    <n v="903"/>
    <x v="0"/>
    <x v="0"/>
    <x v="1"/>
    <s v="Yes"/>
    <s v="Y"/>
    <n v="2"/>
    <n v="-2"/>
    <n v="0"/>
    <n v="47"/>
    <n v="0"/>
    <m/>
    <n v="0"/>
    <n v="1"/>
    <n v="249"/>
    <n v="2"/>
    <x v="0"/>
    <n v="1"/>
    <n v="3"/>
    <n v="35"/>
    <n v="3"/>
    <n v="2"/>
    <n v="2"/>
    <n v="4537"/>
    <n v="17783"/>
    <n v="0"/>
    <n v="22"/>
    <x v="1"/>
    <n v="1"/>
    <n v="80"/>
    <n v="1"/>
    <n v="8"/>
    <n v="3"/>
    <n v="7"/>
    <n v="6"/>
    <n v="7"/>
    <n v="7"/>
  </r>
  <r>
    <s v="No"/>
    <s v="Non-Travel"/>
    <x v="0"/>
    <s v="Current Employees"/>
    <x v="0"/>
    <x v="2"/>
    <s v="STAFF-904"/>
    <n v="904"/>
    <x v="1"/>
    <x v="0"/>
    <x v="0"/>
    <s v="Yes"/>
    <s v="Y"/>
    <n v="2"/>
    <n v="-2"/>
    <n v="0"/>
    <n v="37"/>
    <n v="0"/>
    <m/>
    <n v="0"/>
    <n v="1"/>
    <n v="1252"/>
    <n v="19"/>
    <x v="0"/>
    <n v="1"/>
    <n v="1"/>
    <n v="32"/>
    <n v="3"/>
    <n v="3"/>
    <n v="3"/>
    <n v="7642"/>
    <n v="4814"/>
    <n v="1"/>
    <n v="13"/>
    <x v="0"/>
    <n v="4"/>
    <n v="80"/>
    <n v="0"/>
    <n v="10"/>
    <n v="3"/>
    <n v="10"/>
    <n v="0"/>
    <n v="0"/>
    <n v="9"/>
  </r>
  <r>
    <s v="No"/>
    <s v="Non-Travel"/>
    <x v="1"/>
    <s v="Current Employees"/>
    <x v="1"/>
    <x v="0"/>
    <s v="STAFF-905"/>
    <n v="905"/>
    <x v="1"/>
    <x v="5"/>
    <x v="2"/>
    <s v="No"/>
    <s v="Y"/>
    <n v="3"/>
    <n v="-2"/>
    <n v="0"/>
    <n v="50"/>
    <n v="0"/>
    <m/>
    <n v="0"/>
    <n v="1"/>
    <n v="881"/>
    <n v="2"/>
    <x v="2"/>
    <n v="1"/>
    <n v="1"/>
    <n v="98"/>
    <n v="3"/>
    <n v="4"/>
    <n v="1"/>
    <n v="17924"/>
    <n v="4544"/>
    <n v="1"/>
    <n v="11"/>
    <x v="0"/>
    <n v="4"/>
    <n v="80"/>
    <n v="1"/>
    <n v="31"/>
    <n v="3"/>
    <n v="31"/>
    <n v="6"/>
    <n v="14"/>
    <n v="7"/>
  </r>
  <r>
    <s v="No"/>
    <s v="Travel_Rarely"/>
    <x v="0"/>
    <s v="Current Employees"/>
    <x v="2"/>
    <x v="0"/>
    <s v="STAFF-909"/>
    <n v="909"/>
    <x v="0"/>
    <x v="8"/>
    <x v="1"/>
    <s v="No"/>
    <s v="Y"/>
    <n v="2"/>
    <n v="-2"/>
    <n v="0"/>
    <n v="39"/>
    <n v="0"/>
    <m/>
    <n v="0"/>
    <n v="1"/>
    <n v="1383"/>
    <n v="2"/>
    <x v="3"/>
    <n v="1"/>
    <n v="4"/>
    <n v="42"/>
    <n v="2"/>
    <n v="2"/>
    <n v="1"/>
    <n v="5204"/>
    <n v="7790"/>
    <n v="8"/>
    <n v="11"/>
    <x v="0"/>
    <n v="3"/>
    <n v="80"/>
    <n v="2"/>
    <n v="13"/>
    <n v="3"/>
    <n v="5"/>
    <n v="4"/>
    <n v="0"/>
    <n v="4"/>
  </r>
  <r>
    <s v="No"/>
    <s v="Travel_Rarely"/>
    <x v="2"/>
    <s v="Current Employees"/>
    <x v="2"/>
    <x v="5"/>
    <s v="STAFF-910"/>
    <n v="910"/>
    <x v="1"/>
    <x v="8"/>
    <x v="2"/>
    <s v="Yes"/>
    <s v="Y"/>
    <n v="4"/>
    <n v="-2"/>
    <n v="0"/>
    <n v="33"/>
    <n v="0"/>
    <m/>
    <n v="0"/>
    <n v="1"/>
    <n v="1075"/>
    <n v="3"/>
    <x v="0"/>
    <n v="1"/>
    <n v="4"/>
    <n v="57"/>
    <n v="3"/>
    <n v="1"/>
    <n v="3"/>
    <n v="2277"/>
    <n v="22650"/>
    <n v="3"/>
    <n v="11"/>
    <x v="0"/>
    <n v="3"/>
    <n v="80"/>
    <n v="1"/>
    <n v="7"/>
    <n v="4"/>
    <n v="4"/>
    <n v="3"/>
    <n v="0"/>
    <n v="3"/>
  </r>
  <r>
    <s v="Yes"/>
    <s v="Travel_Rarely"/>
    <x v="2"/>
    <s v="Ex-Employees"/>
    <x v="1"/>
    <x v="0"/>
    <s v="STAFF-911"/>
    <n v="911"/>
    <x v="1"/>
    <x v="2"/>
    <x v="0"/>
    <s v="Yes"/>
    <s v="Y"/>
    <n v="2"/>
    <n v="-2"/>
    <n v="0"/>
    <n v="32"/>
    <n v="1"/>
    <n v="1"/>
    <n v="1"/>
    <n v="0"/>
    <n v="374"/>
    <n v="25"/>
    <x v="2"/>
    <n v="1"/>
    <n v="1"/>
    <n v="87"/>
    <n v="3"/>
    <n v="1"/>
    <n v="1"/>
    <n v="2795"/>
    <n v="18016"/>
    <n v="1"/>
    <n v="24"/>
    <x v="1"/>
    <n v="3"/>
    <n v="80"/>
    <n v="0"/>
    <n v="1"/>
    <n v="1"/>
    <n v="1"/>
    <n v="0"/>
    <n v="0"/>
    <n v="1"/>
  </r>
  <r>
    <s v="No"/>
    <s v="Travel_Rarely"/>
    <x v="2"/>
    <s v="Current Employees"/>
    <x v="1"/>
    <x v="2"/>
    <s v="STAFF-912"/>
    <n v="912"/>
    <x v="0"/>
    <x v="2"/>
    <x v="2"/>
    <s v="No"/>
    <s v="Y"/>
    <n v="5"/>
    <n v="-2"/>
    <n v="0"/>
    <n v="29"/>
    <n v="0"/>
    <m/>
    <n v="0"/>
    <n v="1"/>
    <n v="1086"/>
    <n v="7"/>
    <x v="1"/>
    <n v="1"/>
    <n v="1"/>
    <n v="62"/>
    <n v="2"/>
    <n v="1"/>
    <n v="4"/>
    <n v="2532"/>
    <n v="6054"/>
    <n v="6"/>
    <n v="14"/>
    <x v="0"/>
    <n v="3"/>
    <n v="80"/>
    <n v="3"/>
    <n v="8"/>
    <n v="3"/>
    <n v="4"/>
    <n v="3"/>
    <n v="0"/>
    <n v="3"/>
  </r>
  <r>
    <s v="No"/>
    <s v="Travel_Rarely"/>
    <x v="0"/>
    <s v="Current Employees"/>
    <x v="1"/>
    <x v="0"/>
    <s v="STAFF-913"/>
    <n v="913"/>
    <x v="1"/>
    <x v="1"/>
    <x v="1"/>
    <s v="Yes"/>
    <s v="Y"/>
    <n v="0"/>
    <n v="-2"/>
    <n v="0"/>
    <n v="44"/>
    <n v="0"/>
    <m/>
    <n v="0"/>
    <n v="1"/>
    <n v="661"/>
    <n v="9"/>
    <x v="0"/>
    <n v="1"/>
    <n v="2"/>
    <n v="61"/>
    <n v="3"/>
    <n v="1"/>
    <n v="1"/>
    <n v="2559"/>
    <n v="7508"/>
    <n v="1"/>
    <n v="13"/>
    <x v="0"/>
    <n v="4"/>
    <n v="80"/>
    <n v="0"/>
    <n v="8"/>
    <n v="3"/>
    <n v="8"/>
    <n v="7"/>
    <n v="7"/>
    <n v="1"/>
  </r>
  <r>
    <s v="No"/>
    <s v="Travel_Rarely"/>
    <x v="2"/>
    <s v="Current Employees"/>
    <x v="0"/>
    <x v="2"/>
    <s v="STAFF-916"/>
    <n v="916"/>
    <x v="1"/>
    <x v="0"/>
    <x v="0"/>
    <s v="No"/>
    <s v="Y"/>
    <n v="3"/>
    <n v="-2"/>
    <n v="0"/>
    <n v="28"/>
    <n v="0"/>
    <m/>
    <n v="0"/>
    <n v="1"/>
    <n v="821"/>
    <n v="5"/>
    <x v="2"/>
    <n v="1"/>
    <n v="1"/>
    <n v="98"/>
    <n v="3"/>
    <n v="2"/>
    <n v="4"/>
    <n v="4908"/>
    <n v="24252"/>
    <n v="1"/>
    <n v="14"/>
    <x v="0"/>
    <n v="2"/>
    <n v="80"/>
    <n v="0"/>
    <n v="4"/>
    <n v="3"/>
    <n v="4"/>
    <n v="2"/>
    <n v="0"/>
    <n v="2"/>
  </r>
  <r>
    <s v="Yes"/>
    <s v="Travel_Frequently"/>
    <x v="3"/>
    <s v="Ex-Employees"/>
    <x v="1"/>
    <x v="0"/>
    <s v="STAFF-918"/>
    <n v="918"/>
    <x v="1"/>
    <x v="2"/>
    <x v="2"/>
    <s v="Yes"/>
    <s v="Y"/>
    <n v="3"/>
    <n v="-2"/>
    <n v="0"/>
    <n v="58"/>
    <n v="1"/>
    <n v="1"/>
    <n v="1"/>
    <n v="0"/>
    <n v="781"/>
    <n v="2"/>
    <x v="1"/>
    <n v="1"/>
    <n v="4"/>
    <n v="57"/>
    <n v="2"/>
    <n v="1"/>
    <n v="1"/>
    <n v="2380"/>
    <n v="13384"/>
    <n v="9"/>
    <n v="14"/>
    <x v="0"/>
    <n v="4"/>
    <n v="80"/>
    <n v="1"/>
    <n v="3"/>
    <n v="2"/>
    <n v="1"/>
    <n v="0"/>
    <n v="0"/>
    <n v="0"/>
  </r>
  <r>
    <s v="No"/>
    <s v="Travel_Rarely"/>
    <x v="0"/>
    <s v="Current Employees"/>
    <x v="1"/>
    <x v="0"/>
    <s v="STAFF-920"/>
    <n v="920"/>
    <x v="0"/>
    <x v="3"/>
    <x v="2"/>
    <s v="No"/>
    <s v="Y"/>
    <n v="2"/>
    <n v="-2"/>
    <n v="0"/>
    <n v="43"/>
    <n v="0"/>
    <m/>
    <n v="0"/>
    <n v="1"/>
    <n v="177"/>
    <n v="8"/>
    <x v="3"/>
    <n v="1"/>
    <n v="1"/>
    <n v="55"/>
    <n v="3"/>
    <n v="2"/>
    <n v="1"/>
    <n v="4765"/>
    <n v="23814"/>
    <n v="4"/>
    <n v="21"/>
    <x v="1"/>
    <n v="3"/>
    <n v="80"/>
    <n v="1"/>
    <n v="4"/>
    <n v="4"/>
    <n v="1"/>
    <n v="0"/>
    <n v="0"/>
    <n v="0"/>
  </r>
  <r>
    <s v="Yes"/>
    <s v="Travel_Rarely"/>
    <x v="4"/>
    <s v="Ex-Employees"/>
    <x v="0"/>
    <x v="2"/>
    <s v="STAFF-922"/>
    <n v="922"/>
    <x v="0"/>
    <x v="6"/>
    <x v="0"/>
    <s v="No"/>
    <s v="Y"/>
    <n v="3"/>
    <n v="-2"/>
    <n v="0"/>
    <n v="20"/>
    <n v="1"/>
    <n v="1"/>
    <n v="1"/>
    <n v="0"/>
    <n v="500"/>
    <n v="2"/>
    <x v="3"/>
    <n v="1"/>
    <n v="3"/>
    <n v="49"/>
    <n v="2"/>
    <n v="1"/>
    <n v="3"/>
    <n v="2044"/>
    <n v="22052"/>
    <n v="1"/>
    <n v="13"/>
    <x v="0"/>
    <n v="4"/>
    <n v="80"/>
    <n v="0"/>
    <n v="2"/>
    <n v="2"/>
    <n v="2"/>
    <n v="2"/>
    <n v="0"/>
    <n v="2"/>
  </r>
  <r>
    <s v="Yes"/>
    <s v="Travel_Rarely"/>
    <x v="4"/>
    <s v="Ex-Employees"/>
    <x v="1"/>
    <x v="1"/>
    <s v="STAFF-923"/>
    <n v="923"/>
    <x v="0"/>
    <x v="1"/>
    <x v="0"/>
    <s v="No"/>
    <s v="Y"/>
    <n v="3"/>
    <n v="-2"/>
    <n v="0"/>
    <n v="21"/>
    <n v="1"/>
    <n v="1"/>
    <n v="1"/>
    <n v="0"/>
    <n v="1427"/>
    <n v="18"/>
    <x v="1"/>
    <n v="1"/>
    <n v="4"/>
    <n v="65"/>
    <n v="3"/>
    <n v="1"/>
    <n v="4"/>
    <n v="2693"/>
    <n v="8870"/>
    <n v="1"/>
    <n v="19"/>
    <x v="0"/>
    <n v="1"/>
    <n v="80"/>
    <n v="0"/>
    <n v="1"/>
    <n v="2"/>
    <n v="1"/>
    <n v="0"/>
    <n v="0"/>
    <n v="0"/>
  </r>
  <r>
    <s v="No"/>
    <s v="Travel_Rarely"/>
    <x v="0"/>
    <s v="Current Employees"/>
    <x v="1"/>
    <x v="0"/>
    <s v="STAFF-924"/>
    <n v="924"/>
    <x v="1"/>
    <x v="4"/>
    <x v="1"/>
    <s v="Yes"/>
    <s v="Y"/>
    <n v="2"/>
    <n v="-2"/>
    <n v="0"/>
    <n v="36"/>
    <n v="0"/>
    <m/>
    <n v="0"/>
    <n v="1"/>
    <n v="1425"/>
    <n v="14"/>
    <x v="1"/>
    <n v="1"/>
    <n v="3"/>
    <n v="68"/>
    <n v="3"/>
    <n v="2"/>
    <n v="1"/>
    <n v="6586"/>
    <n v="4821"/>
    <n v="0"/>
    <n v="17"/>
    <x v="0"/>
    <n v="1"/>
    <n v="80"/>
    <n v="1"/>
    <n v="17"/>
    <n v="2"/>
    <n v="16"/>
    <n v="8"/>
    <n v="4"/>
    <n v="11"/>
  </r>
  <r>
    <s v="No"/>
    <s v="Travel_Rarely"/>
    <x v="1"/>
    <s v="Current Employees"/>
    <x v="0"/>
    <x v="0"/>
    <s v="STAFF-925"/>
    <n v="925"/>
    <x v="0"/>
    <x v="6"/>
    <x v="0"/>
    <s v="Yes"/>
    <s v="Y"/>
    <n v="3"/>
    <n v="-2"/>
    <n v="0"/>
    <n v="47"/>
    <n v="0"/>
    <m/>
    <n v="0"/>
    <n v="1"/>
    <n v="1454"/>
    <n v="2"/>
    <x v="2"/>
    <n v="1"/>
    <n v="4"/>
    <n v="65"/>
    <n v="2"/>
    <n v="1"/>
    <n v="1"/>
    <n v="3294"/>
    <n v="13137"/>
    <n v="1"/>
    <n v="18"/>
    <x v="0"/>
    <n v="1"/>
    <n v="80"/>
    <n v="0"/>
    <n v="3"/>
    <n v="2"/>
    <n v="3"/>
    <n v="2"/>
    <n v="1"/>
    <n v="2"/>
  </r>
  <r>
    <s v="Yes"/>
    <s v="Travel_Rarely"/>
    <x v="4"/>
    <s v="Ex-Employees"/>
    <x v="1"/>
    <x v="0"/>
    <s v="STAFF-926"/>
    <n v="926"/>
    <x v="0"/>
    <x v="3"/>
    <x v="1"/>
    <s v="Yes"/>
    <s v="Y"/>
    <n v="3"/>
    <n v="-2"/>
    <n v="0"/>
    <n v="22"/>
    <n v="1"/>
    <n v="1"/>
    <n v="1"/>
    <n v="0"/>
    <n v="617"/>
    <n v="3"/>
    <x v="1"/>
    <n v="1"/>
    <n v="2"/>
    <n v="34"/>
    <n v="3"/>
    <n v="2"/>
    <n v="1"/>
    <n v="4171"/>
    <n v="10022"/>
    <n v="0"/>
    <n v="19"/>
    <x v="0"/>
    <n v="1"/>
    <n v="80"/>
    <n v="1"/>
    <n v="4"/>
    <n v="4"/>
    <n v="3"/>
    <n v="2"/>
    <n v="0"/>
    <n v="2"/>
  </r>
  <r>
    <s v="Yes"/>
    <s v="Travel_Rarely"/>
    <x v="0"/>
    <s v="Ex-Employees"/>
    <x v="1"/>
    <x v="0"/>
    <s v="STAFF-927"/>
    <n v="927"/>
    <x v="0"/>
    <x v="2"/>
    <x v="2"/>
    <s v="Yes"/>
    <s v="Y"/>
    <n v="1"/>
    <n v="-2"/>
    <n v="0"/>
    <n v="41"/>
    <n v="1"/>
    <n v="1"/>
    <n v="1"/>
    <n v="0"/>
    <n v="1085"/>
    <n v="2"/>
    <x v="2"/>
    <n v="1"/>
    <n v="2"/>
    <n v="57"/>
    <n v="1"/>
    <n v="1"/>
    <n v="1"/>
    <n v="2778"/>
    <n v="17725"/>
    <n v="4"/>
    <n v="13"/>
    <x v="0"/>
    <n v="3"/>
    <n v="80"/>
    <n v="1"/>
    <n v="10"/>
    <n v="2"/>
    <n v="7"/>
    <n v="7"/>
    <n v="1"/>
    <n v="0"/>
  </r>
  <r>
    <s v="No"/>
    <s v="Travel_Rarely"/>
    <x v="2"/>
    <s v="Current Employees"/>
    <x v="1"/>
    <x v="2"/>
    <s v="STAFF-930"/>
    <n v="930"/>
    <x v="0"/>
    <x v="1"/>
    <x v="2"/>
    <s v="No"/>
    <s v="Y"/>
    <n v="2"/>
    <n v="-2"/>
    <n v="0"/>
    <n v="28"/>
    <n v="0"/>
    <m/>
    <n v="0"/>
    <n v="1"/>
    <n v="995"/>
    <n v="9"/>
    <x v="3"/>
    <n v="1"/>
    <n v="3"/>
    <n v="77"/>
    <n v="3"/>
    <n v="1"/>
    <n v="3"/>
    <n v="2377"/>
    <n v="9834"/>
    <n v="5"/>
    <n v="18"/>
    <x v="0"/>
    <n v="2"/>
    <n v="80"/>
    <n v="1"/>
    <n v="6"/>
    <n v="3"/>
    <n v="2"/>
    <n v="2"/>
    <n v="2"/>
    <n v="2"/>
  </r>
  <r>
    <s v="Yes"/>
    <s v="Travel_Rarely"/>
    <x v="0"/>
    <s v="Ex-Employees"/>
    <x v="1"/>
    <x v="2"/>
    <s v="STAFF-932"/>
    <n v="932"/>
    <x v="1"/>
    <x v="2"/>
    <x v="1"/>
    <s v="Yes"/>
    <s v="Y"/>
    <n v="2"/>
    <n v="-2"/>
    <n v="0"/>
    <n v="39"/>
    <n v="1"/>
    <n v="1"/>
    <n v="1"/>
    <n v="0"/>
    <n v="1122"/>
    <n v="6"/>
    <x v="3"/>
    <n v="1"/>
    <n v="4"/>
    <n v="70"/>
    <n v="3"/>
    <n v="1"/>
    <n v="3"/>
    <n v="2404"/>
    <n v="4303"/>
    <n v="7"/>
    <n v="21"/>
    <x v="1"/>
    <n v="4"/>
    <n v="80"/>
    <n v="0"/>
    <n v="8"/>
    <n v="1"/>
    <n v="2"/>
    <n v="2"/>
    <n v="2"/>
    <n v="2"/>
  </r>
  <r>
    <s v="No"/>
    <s v="Travel_Rarely"/>
    <x v="2"/>
    <s v="Current Employees"/>
    <x v="1"/>
    <x v="0"/>
    <s v="STAFF-933"/>
    <n v="933"/>
    <x v="0"/>
    <x v="1"/>
    <x v="0"/>
    <s v="No"/>
    <s v="Y"/>
    <n v="2"/>
    <n v="-2"/>
    <n v="0"/>
    <n v="27"/>
    <n v="0"/>
    <m/>
    <n v="0"/>
    <n v="1"/>
    <n v="618"/>
    <n v="4"/>
    <x v="3"/>
    <n v="1"/>
    <n v="2"/>
    <n v="76"/>
    <n v="3"/>
    <n v="1"/>
    <n v="1"/>
    <n v="2318"/>
    <n v="17808"/>
    <n v="1"/>
    <n v="19"/>
    <x v="0"/>
    <n v="3"/>
    <n v="80"/>
    <n v="0"/>
    <n v="1"/>
    <n v="3"/>
    <n v="1"/>
    <n v="1"/>
    <n v="0"/>
    <n v="0"/>
  </r>
  <r>
    <s v="No"/>
    <s v="Travel_Rarely"/>
    <x v="2"/>
    <s v="Current Employees"/>
    <x v="1"/>
    <x v="0"/>
    <s v="STAFF-934"/>
    <n v="934"/>
    <x v="1"/>
    <x v="2"/>
    <x v="2"/>
    <s v="No"/>
    <s v="Y"/>
    <n v="3"/>
    <n v="-2"/>
    <n v="0"/>
    <n v="34"/>
    <n v="0"/>
    <m/>
    <n v="0"/>
    <n v="1"/>
    <n v="546"/>
    <n v="10"/>
    <x v="3"/>
    <n v="1"/>
    <n v="2"/>
    <n v="83"/>
    <n v="3"/>
    <n v="1"/>
    <n v="1"/>
    <n v="2008"/>
    <n v="6896"/>
    <n v="1"/>
    <n v="14"/>
    <x v="0"/>
    <n v="2"/>
    <n v="80"/>
    <n v="2"/>
    <n v="1"/>
    <n v="3"/>
    <n v="1"/>
    <n v="0"/>
    <n v="1"/>
    <n v="0"/>
  </r>
  <r>
    <s v="No"/>
    <s v="Travel_Rarely"/>
    <x v="0"/>
    <s v="Current Employees"/>
    <x v="0"/>
    <x v="2"/>
    <s v="STAFF-936"/>
    <n v="936"/>
    <x v="0"/>
    <x v="0"/>
    <x v="0"/>
    <s v="No"/>
    <s v="Y"/>
    <n v="6"/>
    <n v="-2"/>
    <n v="0"/>
    <n v="42"/>
    <n v="0"/>
    <m/>
    <n v="0"/>
    <n v="1"/>
    <n v="462"/>
    <n v="14"/>
    <x v="0"/>
    <n v="1"/>
    <n v="3"/>
    <n v="68"/>
    <n v="2"/>
    <n v="2"/>
    <n v="3"/>
    <n v="6244"/>
    <n v="7824"/>
    <n v="7"/>
    <n v="17"/>
    <x v="0"/>
    <n v="1"/>
    <n v="80"/>
    <n v="0"/>
    <n v="10"/>
    <n v="3"/>
    <n v="5"/>
    <n v="4"/>
    <n v="0"/>
    <n v="3"/>
  </r>
  <r>
    <s v="No"/>
    <s v="Travel_Rarely"/>
    <x v="2"/>
    <s v="Current Employees"/>
    <x v="1"/>
    <x v="1"/>
    <s v="STAFF-939"/>
    <n v="939"/>
    <x v="1"/>
    <x v="1"/>
    <x v="0"/>
    <s v="Yes"/>
    <s v="Y"/>
    <n v="1"/>
    <n v="-2"/>
    <n v="0"/>
    <n v="33"/>
    <n v="0"/>
    <m/>
    <n v="0"/>
    <n v="1"/>
    <n v="1198"/>
    <n v="1"/>
    <x v="2"/>
    <n v="1"/>
    <n v="3"/>
    <n v="100"/>
    <n v="2"/>
    <n v="1"/>
    <n v="3"/>
    <n v="2799"/>
    <n v="3339"/>
    <n v="3"/>
    <n v="11"/>
    <x v="0"/>
    <n v="2"/>
    <n v="80"/>
    <n v="0"/>
    <n v="6"/>
    <n v="3"/>
    <n v="3"/>
    <n v="2"/>
    <n v="0"/>
    <n v="2"/>
  </r>
  <r>
    <s v="No"/>
    <s v="Travel_Rarely"/>
    <x v="3"/>
    <s v="Current Employees"/>
    <x v="1"/>
    <x v="4"/>
    <s v="STAFF-940"/>
    <n v="940"/>
    <x v="0"/>
    <x v="4"/>
    <x v="2"/>
    <s v="Yes"/>
    <s v="Y"/>
    <n v="3"/>
    <n v="-2"/>
    <n v="0"/>
    <n v="58"/>
    <n v="0"/>
    <m/>
    <n v="0"/>
    <n v="1"/>
    <n v="1272"/>
    <n v="5"/>
    <x v="3"/>
    <n v="1"/>
    <n v="4"/>
    <n v="37"/>
    <n v="2"/>
    <n v="3"/>
    <n v="4"/>
    <n v="10552"/>
    <n v="9255"/>
    <n v="2"/>
    <n v="13"/>
    <x v="0"/>
    <n v="4"/>
    <n v="80"/>
    <n v="1"/>
    <n v="24"/>
    <n v="3"/>
    <n v="6"/>
    <n v="0"/>
    <n v="0"/>
    <n v="4"/>
  </r>
  <r>
    <s v="No"/>
    <s v="Travel_Rarely"/>
    <x v="2"/>
    <s v="Current Employees"/>
    <x v="0"/>
    <x v="0"/>
    <s v="STAFF-941"/>
    <n v="941"/>
    <x v="1"/>
    <x v="6"/>
    <x v="1"/>
    <s v="No"/>
    <s v="Y"/>
    <n v="2"/>
    <n v="-2"/>
    <n v="0"/>
    <n v="31"/>
    <n v="0"/>
    <m/>
    <n v="0"/>
    <n v="1"/>
    <n v="154"/>
    <n v="7"/>
    <x v="2"/>
    <n v="1"/>
    <n v="2"/>
    <n v="41"/>
    <n v="2"/>
    <n v="1"/>
    <n v="1"/>
    <n v="2329"/>
    <n v="11737"/>
    <n v="3"/>
    <n v="15"/>
    <x v="0"/>
    <n v="2"/>
    <n v="80"/>
    <n v="0"/>
    <n v="13"/>
    <n v="4"/>
    <n v="7"/>
    <n v="7"/>
    <n v="5"/>
    <n v="2"/>
  </r>
  <r>
    <s v="No"/>
    <s v="Travel_Rarely"/>
    <x v="0"/>
    <s v="Current Employees"/>
    <x v="1"/>
    <x v="0"/>
    <s v="STAFF-942"/>
    <n v="942"/>
    <x v="0"/>
    <x v="4"/>
    <x v="1"/>
    <s v="Yes"/>
    <s v="Y"/>
    <n v="2"/>
    <n v="-2"/>
    <n v="0"/>
    <n v="35"/>
    <n v="0"/>
    <m/>
    <n v="0"/>
    <n v="1"/>
    <n v="1137"/>
    <n v="21"/>
    <x v="1"/>
    <n v="1"/>
    <n v="4"/>
    <n v="51"/>
    <n v="3"/>
    <n v="2"/>
    <n v="1"/>
    <n v="4014"/>
    <n v="19170"/>
    <n v="1"/>
    <n v="25"/>
    <x v="1"/>
    <n v="4"/>
    <n v="80"/>
    <n v="1"/>
    <n v="10"/>
    <n v="1"/>
    <n v="10"/>
    <n v="6"/>
    <n v="0"/>
    <n v="7"/>
  </r>
  <r>
    <s v="No"/>
    <s v="Travel_Rarely"/>
    <x v="1"/>
    <s v="Current Employees"/>
    <x v="1"/>
    <x v="1"/>
    <s v="STAFF-944"/>
    <n v="944"/>
    <x v="0"/>
    <x v="2"/>
    <x v="1"/>
    <s v="No"/>
    <s v="Y"/>
    <n v="3"/>
    <n v="-2"/>
    <n v="0"/>
    <n v="49"/>
    <n v="0"/>
    <m/>
    <n v="0"/>
    <n v="1"/>
    <n v="527"/>
    <n v="8"/>
    <x v="0"/>
    <n v="1"/>
    <n v="1"/>
    <n v="51"/>
    <n v="3"/>
    <n v="3"/>
    <n v="3"/>
    <n v="7403"/>
    <n v="22477"/>
    <n v="4"/>
    <n v="11"/>
    <x v="0"/>
    <n v="3"/>
    <n v="80"/>
    <n v="1"/>
    <n v="29"/>
    <n v="2"/>
    <n v="26"/>
    <n v="9"/>
    <n v="1"/>
    <n v="7"/>
  </r>
  <r>
    <s v="No"/>
    <s v="Travel_Rarely"/>
    <x v="1"/>
    <s v="Current Employees"/>
    <x v="1"/>
    <x v="2"/>
    <s v="STAFF-945"/>
    <n v="945"/>
    <x v="1"/>
    <x v="1"/>
    <x v="1"/>
    <s v="No"/>
    <s v="Y"/>
    <n v="2"/>
    <n v="-2"/>
    <n v="0"/>
    <n v="48"/>
    <n v="0"/>
    <m/>
    <n v="0"/>
    <n v="1"/>
    <n v="1469"/>
    <n v="20"/>
    <x v="2"/>
    <n v="1"/>
    <n v="4"/>
    <n v="51"/>
    <n v="3"/>
    <n v="1"/>
    <n v="3"/>
    <n v="2259"/>
    <n v="5543"/>
    <n v="4"/>
    <n v="17"/>
    <x v="0"/>
    <n v="1"/>
    <n v="80"/>
    <n v="2"/>
    <n v="13"/>
    <n v="2"/>
    <n v="0"/>
    <n v="0"/>
    <n v="0"/>
    <n v="0"/>
  </r>
  <r>
    <s v="No"/>
    <s v="Non-Travel"/>
    <x v="2"/>
    <s v="Current Employees"/>
    <x v="0"/>
    <x v="3"/>
    <s v="STAFF-947"/>
    <n v="947"/>
    <x v="0"/>
    <x v="0"/>
    <x v="1"/>
    <s v="No"/>
    <s v="Y"/>
    <n v="2"/>
    <n v="-2"/>
    <n v="0"/>
    <n v="31"/>
    <n v="0"/>
    <m/>
    <n v="0"/>
    <n v="1"/>
    <n v="1188"/>
    <n v="20"/>
    <x v="0"/>
    <n v="1"/>
    <n v="4"/>
    <n v="45"/>
    <n v="3"/>
    <n v="2"/>
    <n v="2"/>
    <n v="6932"/>
    <n v="24406"/>
    <n v="1"/>
    <n v="13"/>
    <x v="0"/>
    <n v="4"/>
    <n v="80"/>
    <n v="1"/>
    <n v="9"/>
    <n v="2"/>
    <n v="9"/>
    <n v="8"/>
    <n v="0"/>
    <n v="0"/>
  </r>
  <r>
    <s v="No"/>
    <s v="Travel_Rarely"/>
    <x v="0"/>
    <s v="Current Employees"/>
    <x v="1"/>
    <x v="1"/>
    <s v="STAFF-949"/>
    <n v="949"/>
    <x v="1"/>
    <x v="1"/>
    <x v="0"/>
    <s v="No"/>
    <s v="Y"/>
    <n v="6"/>
    <n v="-2"/>
    <n v="0"/>
    <n v="36"/>
    <n v="0"/>
    <m/>
    <n v="0"/>
    <n v="1"/>
    <n v="188"/>
    <n v="7"/>
    <x v="2"/>
    <n v="1"/>
    <n v="2"/>
    <n v="65"/>
    <n v="3"/>
    <n v="1"/>
    <n v="4"/>
    <n v="4678"/>
    <n v="23293"/>
    <n v="2"/>
    <n v="18"/>
    <x v="0"/>
    <n v="3"/>
    <n v="80"/>
    <n v="0"/>
    <n v="8"/>
    <n v="3"/>
    <n v="6"/>
    <n v="2"/>
    <n v="0"/>
    <n v="1"/>
  </r>
  <r>
    <s v="No"/>
    <s v="Travel_Rarely"/>
    <x v="0"/>
    <s v="Current Employees"/>
    <x v="1"/>
    <x v="4"/>
    <s v="STAFF-950"/>
    <n v="950"/>
    <x v="0"/>
    <x v="7"/>
    <x v="1"/>
    <s v="No"/>
    <s v="Y"/>
    <n v="3"/>
    <n v="-2"/>
    <n v="0"/>
    <n v="38"/>
    <n v="0"/>
    <m/>
    <n v="0"/>
    <n v="1"/>
    <n v="1333"/>
    <n v="1"/>
    <x v="3"/>
    <n v="1"/>
    <n v="4"/>
    <n v="80"/>
    <n v="3"/>
    <n v="3"/>
    <n v="4"/>
    <n v="13582"/>
    <n v="16292"/>
    <n v="1"/>
    <n v="13"/>
    <x v="0"/>
    <n v="2"/>
    <n v="80"/>
    <n v="1"/>
    <n v="15"/>
    <n v="3"/>
    <n v="15"/>
    <n v="12"/>
    <n v="5"/>
    <n v="11"/>
  </r>
  <r>
    <s v="No"/>
    <s v="Non-Travel"/>
    <x v="2"/>
    <s v="Current Employees"/>
    <x v="1"/>
    <x v="0"/>
    <s v="STAFF-951"/>
    <n v="951"/>
    <x v="0"/>
    <x v="2"/>
    <x v="1"/>
    <s v="No"/>
    <s v="Y"/>
    <n v="3"/>
    <n v="-2"/>
    <n v="0"/>
    <n v="32"/>
    <n v="0"/>
    <m/>
    <n v="0"/>
    <n v="1"/>
    <n v="1184"/>
    <n v="1"/>
    <x v="3"/>
    <n v="1"/>
    <n v="3"/>
    <n v="70"/>
    <n v="2"/>
    <n v="1"/>
    <n v="1"/>
    <n v="2332"/>
    <n v="3974"/>
    <n v="6"/>
    <n v="20"/>
    <x v="1"/>
    <n v="3"/>
    <n v="80"/>
    <n v="0"/>
    <n v="5"/>
    <n v="3"/>
    <n v="3"/>
    <n v="0"/>
    <n v="0"/>
    <n v="2"/>
  </r>
  <r>
    <s v="Yes"/>
    <s v="Travel_Rarely"/>
    <x v="2"/>
    <s v="Ex-Employees"/>
    <x v="0"/>
    <x v="3"/>
    <s v="STAFF-952"/>
    <n v="952"/>
    <x v="1"/>
    <x v="6"/>
    <x v="1"/>
    <s v="Yes"/>
    <s v="Y"/>
    <n v="2"/>
    <n v="-2"/>
    <n v="0"/>
    <n v="25"/>
    <n v="1"/>
    <n v="1"/>
    <n v="1"/>
    <n v="0"/>
    <n v="867"/>
    <n v="19"/>
    <x v="0"/>
    <n v="1"/>
    <n v="3"/>
    <n v="36"/>
    <n v="2"/>
    <n v="1"/>
    <n v="2"/>
    <n v="2413"/>
    <n v="18798"/>
    <n v="1"/>
    <n v="18"/>
    <x v="0"/>
    <n v="3"/>
    <n v="80"/>
    <n v="3"/>
    <n v="1"/>
    <n v="3"/>
    <n v="1"/>
    <n v="0"/>
    <n v="0"/>
    <n v="0"/>
  </r>
  <r>
    <s v="No"/>
    <s v="Travel_Rarely"/>
    <x v="0"/>
    <s v="Current Employees"/>
    <x v="0"/>
    <x v="3"/>
    <s v="STAFF-954"/>
    <n v="954"/>
    <x v="1"/>
    <x v="0"/>
    <x v="2"/>
    <s v="No"/>
    <s v="Y"/>
    <n v="2"/>
    <n v="-2"/>
    <n v="0"/>
    <n v="40"/>
    <n v="0"/>
    <m/>
    <n v="0"/>
    <n v="1"/>
    <n v="658"/>
    <n v="10"/>
    <x v="2"/>
    <n v="1"/>
    <n v="1"/>
    <n v="67"/>
    <n v="2"/>
    <n v="3"/>
    <n v="2"/>
    <n v="9705"/>
    <n v="20652"/>
    <n v="2"/>
    <n v="12"/>
    <x v="0"/>
    <n v="2"/>
    <n v="80"/>
    <n v="1"/>
    <n v="11"/>
    <n v="2"/>
    <n v="1"/>
    <n v="0"/>
    <n v="0"/>
    <n v="0"/>
  </r>
  <r>
    <s v="No"/>
    <s v="Travel_Frequently"/>
    <x v="2"/>
    <s v="Current Employees"/>
    <x v="0"/>
    <x v="2"/>
    <s v="STAFF-956"/>
    <n v="956"/>
    <x v="1"/>
    <x v="0"/>
    <x v="0"/>
    <s v="No"/>
    <s v="Y"/>
    <n v="2"/>
    <n v="-2"/>
    <n v="0"/>
    <n v="26"/>
    <n v="0"/>
    <m/>
    <n v="0"/>
    <n v="1"/>
    <n v="1283"/>
    <n v="1"/>
    <x v="3"/>
    <n v="1"/>
    <n v="3"/>
    <n v="52"/>
    <n v="2"/>
    <n v="2"/>
    <n v="3"/>
    <n v="4294"/>
    <n v="11148"/>
    <n v="1"/>
    <n v="12"/>
    <x v="0"/>
    <n v="2"/>
    <n v="80"/>
    <n v="0"/>
    <n v="7"/>
    <n v="3"/>
    <n v="7"/>
    <n v="7"/>
    <n v="0"/>
    <n v="7"/>
  </r>
  <r>
    <s v="No"/>
    <s v="Travel_Rarely"/>
    <x v="0"/>
    <s v="Current Employees"/>
    <x v="1"/>
    <x v="2"/>
    <s v="STAFF-957"/>
    <n v="957"/>
    <x v="1"/>
    <x v="2"/>
    <x v="0"/>
    <s v="Yes"/>
    <s v="Y"/>
    <n v="3"/>
    <n v="-2"/>
    <n v="0"/>
    <n v="41"/>
    <n v="0"/>
    <m/>
    <n v="0"/>
    <n v="1"/>
    <n v="263"/>
    <n v="6"/>
    <x v="3"/>
    <n v="1"/>
    <n v="4"/>
    <n v="59"/>
    <n v="3"/>
    <n v="1"/>
    <n v="3"/>
    <n v="4721"/>
    <n v="3119"/>
    <n v="2"/>
    <n v="13"/>
    <x v="0"/>
    <n v="3"/>
    <n v="80"/>
    <n v="0"/>
    <n v="20"/>
    <n v="3"/>
    <n v="18"/>
    <n v="13"/>
    <n v="2"/>
    <n v="17"/>
  </r>
  <r>
    <s v="No"/>
    <s v="Travel_Rarely"/>
    <x v="0"/>
    <s v="Current Employees"/>
    <x v="1"/>
    <x v="2"/>
    <s v="STAFF-958"/>
    <n v="958"/>
    <x v="1"/>
    <x v="2"/>
    <x v="0"/>
    <s v="No"/>
    <s v="Y"/>
    <n v="6"/>
    <n v="-2"/>
    <n v="0"/>
    <n v="36"/>
    <n v="0"/>
    <m/>
    <n v="0"/>
    <n v="1"/>
    <n v="938"/>
    <n v="2"/>
    <x v="2"/>
    <n v="1"/>
    <n v="3"/>
    <n v="79"/>
    <n v="3"/>
    <n v="1"/>
    <n v="3"/>
    <n v="2519"/>
    <n v="12287"/>
    <n v="4"/>
    <n v="21"/>
    <x v="1"/>
    <n v="3"/>
    <n v="80"/>
    <n v="0"/>
    <n v="16"/>
    <n v="3"/>
    <n v="11"/>
    <n v="8"/>
    <n v="3"/>
    <n v="9"/>
  </r>
  <r>
    <s v="Yes"/>
    <s v="Travel_Rarely"/>
    <x v="4"/>
    <s v="Ex-Employees"/>
    <x v="0"/>
    <x v="1"/>
    <s v="STAFF-959"/>
    <n v="959"/>
    <x v="1"/>
    <x v="6"/>
    <x v="0"/>
    <s v="Yes"/>
    <s v="Y"/>
    <n v="3"/>
    <n v="-2"/>
    <n v="0"/>
    <n v="19"/>
    <n v="1"/>
    <n v="1"/>
    <n v="1"/>
    <n v="0"/>
    <n v="419"/>
    <n v="21"/>
    <x v="3"/>
    <n v="1"/>
    <n v="4"/>
    <n v="37"/>
    <n v="2"/>
    <n v="1"/>
    <n v="3"/>
    <n v="2121"/>
    <n v="9947"/>
    <n v="1"/>
    <n v="13"/>
    <x v="0"/>
    <n v="2"/>
    <n v="80"/>
    <n v="0"/>
    <n v="1"/>
    <n v="4"/>
    <n v="1"/>
    <n v="0"/>
    <n v="0"/>
    <n v="0"/>
  </r>
  <r>
    <s v="Yes"/>
    <s v="Travel_Rarely"/>
    <x v="4"/>
    <s v="Ex-Employees"/>
    <x v="1"/>
    <x v="4"/>
    <s v="STAFF-960"/>
    <n v="960"/>
    <x v="1"/>
    <x v="2"/>
    <x v="0"/>
    <s v="No"/>
    <s v="Y"/>
    <n v="2"/>
    <n v="-2"/>
    <n v="0"/>
    <n v="20"/>
    <n v="1"/>
    <n v="1"/>
    <n v="1"/>
    <n v="0"/>
    <n v="129"/>
    <n v="4"/>
    <x v="3"/>
    <n v="1"/>
    <n v="4"/>
    <n v="84"/>
    <n v="3"/>
    <n v="1"/>
    <n v="4"/>
    <n v="2973"/>
    <n v="13008"/>
    <n v="1"/>
    <n v="19"/>
    <x v="0"/>
    <n v="2"/>
    <n v="80"/>
    <n v="0"/>
    <n v="1"/>
    <n v="3"/>
    <n v="1"/>
    <n v="0"/>
    <n v="0"/>
    <n v="0"/>
  </r>
  <r>
    <s v="No"/>
    <s v="Travel_Rarely"/>
    <x v="2"/>
    <s v="Current Employees"/>
    <x v="1"/>
    <x v="2"/>
    <s v="STAFF-961"/>
    <n v="961"/>
    <x v="0"/>
    <x v="4"/>
    <x v="1"/>
    <s v="Yes"/>
    <s v="Y"/>
    <n v="2"/>
    <n v="-2"/>
    <n v="0"/>
    <n v="31"/>
    <n v="0"/>
    <m/>
    <n v="0"/>
    <n v="1"/>
    <n v="616"/>
    <n v="12"/>
    <x v="3"/>
    <n v="1"/>
    <n v="4"/>
    <n v="41"/>
    <n v="3"/>
    <n v="2"/>
    <n v="4"/>
    <n v="5855"/>
    <n v="17369"/>
    <n v="0"/>
    <n v="11"/>
    <x v="0"/>
    <n v="3"/>
    <n v="80"/>
    <n v="2"/>
    <n v="10"/>
    <n v="1"/>
    <n v="9"/>
    <n v="7"/>
    <n v="8"/>
    <n v="5"/>
  </r>
  <r>
    <s v="No"/>
    <s v="Travel_Frequently"/>
    <x v="0"/>
    <s v="Current Employees"/>
    <x v="1"/>
    <x v="2"/>
    <s v="STAFF-964"/>
    <n v="964"/>
    <x v="1"/>
    <x v="1"/>
    <x v="2"/>
    <s v="Yes"/>
    <s v="Y"/>
    <n v="2"/>
    <n v="-2"/>
    <n v="0"/>
    <n v="40"/>
    <n v="0"/>
    <m/>
    <n v="0"/>
    <n v="1"/>
    <n v="1469"/>
    <n v="9"/>
    <x v="2"/>
    <n v="1"/>
    <n v="4"/>
    <n v="35"/>
    <n v="3"/>
    <n v="1"/>
    <n v="3"/>
    <n v="3617"/>
    <n v="25063"/>
    <n v="8"/>
    <n v="14"/>
    <x v="0"/>
    <n v="4"/>
    <n v="80"/>
    <n v="1"/>
    <n v="3"/>
    <n v="3"/>
    <n v="1"/>
    <n v="1"/>
    <n v="0"/>
    <n v="0"/>
  </r>
  <r>
    <s v="No"/>
    <s v="Travel_Rarely"/>
    <x v="2"/>
    <s v="Current Employees"/>
    <x v="1"/>
    <x v="2"/>
    <s v="STAFF-966"/>
    <n v="966"/>
    <x v="0"/>
    <x v="3"/>
    <x v="1"/>
    <s v="No"/>
    <s v="Y"/>
    <n v="2"/>
    <n v="-2"/>
    <n v="0"/>
    <n v="32"/>
    <n v="0"/>
    <m/>
    <n v="0"/>
    <n v="1"/>
    <n v="498"/>
    <n v="3"/>
    <x v="2"/>
    <n v="1"/>
    <n v="3"/>
    <n v="93"/>
    <n v="3"/>
    <n v="2"/>
    <n v="3"/>
    <n v="6725"/>
    <n v="13554"/>
    <n v="1"/>
    <n v="12"/>
    <x v="0"/>
    <n v="3"/>
    <n v="80"/>
    <n v="1"/>
    <n v="8"/>
    <n v="4"/>
    <n v="8"/>
    <n v="7"/>
    <n v="6"/>
    <n v="3"/>
  </r>
  <r>
    <s v="Yes"/>
    <s v="Travel_Rarely"/>
    <x v="0"/>
    <s v="Ex-Employees"/>
    <x v="0"/>
    <x v="0"/>
    <s v="STAFF-967"/>
    <n v="967"/>
    <x v="1"/>
    <x v="0"/>
    <x v="1"/>
    <s v="Yes"/>
    <s v="Y"/>
    <n v="6"/>
    <n v="-2"/>
    <n v="0"/>
    <n v="36"/>
    <n v="1"/>
    <n v="1"/>
    <n v="1"/>
    <n v="0"/>
    <n v="530"/>
    <n v="3"/>
    <x v="1"/>
    <n v="1"/>
    <n v="3"/>
    <n v="51"/>
    <n v="2"/>
    <n v="3"/>
    <n v="1"/>
    <n v="10325"/>
    <n v="5518"/>
    <n v="1"/>
    <n v="11"/>
    <x v="0"/>
    <n v="1"/>
    <n v="80"/>
    <n v="1"/>
    <n v="16"/>
    <n v="3"/>
    <n v="16"/>
    <n v="7"/>
    <n v="3"/>
    <n v="7"/>
  </r>
  <r>
    <s v="No"/>
    <s v="Travel_Rarely"/>
    <x v="2"/>
    <s v="Current Employees"/>
    <x v="1"/>
    <x v="0"/>
    <s v="STAFF-969"/>
    <n v="969"/>
    <x v="0"/>
    <x v="4"/>
    <x v="0"/>
    <s v="No"/>
    <s v="Y"/>
    <n v="3"/>
    <n v="-2"/>
    <n v="0"/>
    <n v="33"/>
    <n v="0"/>
    <m/>
    <n v="0"/>
    <n v="1"/>
    <n v="1069"/>
    <n v="1"/>
    <x v="3"/>
    <n v="1"/>
    <n v="2"/>
    <n v="42"/>
    <n v="2"/>
    <n v="2"/>
    <n v="1"/>
    <n v="6949"/>
    <n v="12291"/>
    <n v="0"/>
    <n v="14"/>
    <x v="0"/>
    <n v="1"/>
    <n v="80"/>
    <n v="0"/>
    <n v="6"/>
    <n v="3"/>
    <n v="5"/>
    <n v="0"/>
    <n v="1"/>
    <n v="4"/>
  </r>
  <r>
    <s v="Yes"/>
    <s v="Travel_Rarely"/>
    <x v="0"/>
    <s v="Ex-Employees"/>
    <x v="0"/>
    <x v="0"/>
    <s v="STAFF-970"/>
    <n v="970"/>
    <x v="1"/>
    <x v="0"/>
    <x v="1"/>
    <s v="No"/>
    <s v="Y"/>
    <n v="2"/>
    <n v="-2"/>
    <n v="0"/>
    <n v="37"/>
    <n v="1"/>
    <n v="1"/>
    <n v="1"/>
    <n v="0"/>
    <n v="625"/>
    <n v="1"/>
    <x v="2"/>
    <n v="1"/>
    <n v="1"/>
    <n v="46"/>
    <n v="2"/>
    <n v="3"/>
    <n v="1"/>
    <n v="10609"/>
    <n v="14922"/>
    <n v="5"/>
    <n v="11"/>
    <x v="0"/>
    <n v="3"/>
    <n v="80"/>
    <n v="0"/>
    <n v="17"/>
    <n v="1"/>
    <n v="14"/>
    <n v="1"/>
    <n v="11"/>
    <n v="7"/>
  </r>
  <r>
    <s v="No"/>
    <s v="Non-Travel"/>
    <x v="1"/>
    <s v="Current Employees"/>
    <x v="1"/>
    <x v="0"/>
    <s v="STAFF-972"/>
    <n v="972"/>
    <x v="1"/>
    <x v="2"/>
    <x v="1"/>
    <s v="No"/>
    <s v="Y"/>
    <n v="5"/>
    <n v="-2"/>
    <n v="0"/>
    <n v="45"/>
    <n v="0"/>
    <m/>
    <n v="0"/>
    <n v="1"/>
    <n v="805"/>
    <n v="4"/>
    <x v="0"/>
    <n v="1"/>
    <n v="3"/>
    <n v="57"/>
    <n v="3"/>
    <n v="2"/>
    <n v="1"/>
    <n v="4447"/>
    <n v="23163"/>
    <n v="1"/>
    <n v="12"/>
    <x v="0"/>
    <n v="2"/>
    <n v="80"/>
    <n v="0"/>
    <n v="9"/>
    <n v="2"/>
    <n v="9"/>
    <n v="7"/>
    <n v="0"/>
    <n v="8"/>
  </r>
  <r>
    <s v="No"/>
    <s v="Travel_Frequently"/>
    <x v="2"/>
    <s v="Current Employees"/>
    <x v="0"/>
    <x v="4"/>
    <s v="STAFF-974"/>
    <n v="974"/>
    <x v="0"/>
    <x v="6"/>
    <x v="1"/>
    <s v="No"/>
    <s v="Y"/>
    <n v="5"/>
    <n v="-2"/>
    <n v="0"/>
    <n v="29"/>
    <n v="0"/>
    <m/>
    <n v="0"/>
    <n v="1"/>
    <n v="1404"/>
    <n v="20"/>
    <x v="3"/>
    <n v="1"/>
    <n v="4"/>
    <n v="84"/>
    <n v="3"/>
    <n v="1"/>
    <n v="4"/>
    <n v="2157"/>
    <n v="18203"/>
    <n v="1"/>
    <n v="15"/>
    <x v="0"/>
    <n v="2"/>
    <n v="80"/>
    <n v="1"/>
    <n v="3"/>
    <n v="3"/>
    <n v="3"/>
    <n v="1"/>
    <n v="0"/>
    <n v="2"/>
  </r>
  <r>
    <s v="No"/>
    <s v="Travel_Rarely"/>
    <x v="0"/>
    <s v="Current Employees"/>
    <x v="0"/>
    <x v="2"/>
    <s v="STAFF-975"/>
    <n v="975"/>
    <x v="0"/>
    <x v="0"/>
    <x v="1"/>
    <s v="No"/>
    <s v="Y"/>
    <n v="3"/>
    <n v="-2"/>
    <n v="0"/>
    <n v="35"/>
    <n v="0"/>
    <m/>
    <n v="0"/>
    <n v="1"/>
    <n v="1219"/>
    <n v="18"/>
    <x v="3"/>
    <n v="1"/>
    <n v="3"/>
    <n v="86"/>
    <n v="3"/>
    <n v="2"/>
    <n v="3"/>
    <n v="4601"/>
    <n v="6179"/>
    <n v="1"/>
    <n v="16"/>
    <x v="0"/>
    <n v="2"/>
    <n v="80"/>
    <n v="0"/>
    <n v="5"/>
    <n v="3"/>
    <n v="5"/>
    <n v="2"/>
    <n v="1"/>
    <n v="0"/>
  </r>
  <r>
    <s v="No"/>
    <s v="Travel_Rarely"/>
    <x v="1"/>
    <s v="Current Employees"/>
    <x v="1"/>
    <x v="0"/>
    <s v="STAFF-976"/>
    <n v="976"/>
    <x v="1"/>
    <x v="5"/>
    <x v="1"/>
    <s v="No"/>
    <s v="Y"/>
    <n v="2"/>
    <n v="-2"/>
    <n v="0"/>
    <n v="52"/>
    <n v="0"/>
    <m/>
    <n v="0"/>
    <n v="1"/>
    <n v="1053"/>
    <n v="1"/>
    <x v="0"/>
    <n v="1"/>
    <n v="4"/>
    <n v="70"/>
    <n v="3"/>
    <n v="4"/>
    <n v="1"/>
    <n v="17099"/>
    <n v="13829"/>
    <n v="2"/>
    <n v="15"/>
    <x v="0"/>
    <n v="2"/>
    <n v="80"/>
    <n v="1"/>
    <n v="26"/>
    <n v="2"/>
    <n v="9"/>
    <n v="8"/>
    <n v="7"/>
    <n v="8"/>
  </r>
  <r>
    <s v="Yes"/>
    <s v="Travel_Rarely"/>
    <x v="3"/>
    <s v="Ex-Employees"/>
    <x v="1"/>
    <x v="4"/>
    <s v="STAFF-977"/>
    <n v="977"/>
    <x v="1"/>
    <x v="1"/>
    <x v="0"/>
    <s v="No"/>
    <s v="Y"/>
    <n v="4"/>
    <n v="-2"/>
    <n v="0"/>
    <n v="58"/>
    <n v="1"/>
    <n v="1"/>
    <n v="1"/>
    <n v="0"/>
    <n v="289"/>
    <n v="2"/>
    <x v="3"/>
    <n v="1"/>
    <n v="4"/>
    <n v="51"/>
    <n v="3"/>
    <n v="1"/>
    <n v="4"/>
    <n v="2479"/>
    <n v="26227"/>
    <n v="4"/>
    <n v="24"/>
    <x v="1"/>
    <n v="1"/>
    <n v="80"/>
    <n v="0"/>
    <n v="7"/>
    <n v="3"/>
    <n v="1"/>
    <n v="0"/>
    <n v="0"/>
    <n v="0"/>
  </r>
  <r>
    <s v="No"/>
    <s v="Travel_Rarely"/>
    <x v="1"/>
    <s v="Current Employees"/>
    <x v="0"/>
    <x v="2"/>
    <s v="STAFF-981"/>
    <n v="981"/>
    <x v="1"/>
    <x v="5"/>
    <x v="2"/>
    <s v="No"/>
    <s v="Y"/>
    <n v="3"/>
    <n v="-2"/>
    <n v="0"/>
    <n v="53"/>
    <n v="0"/>
    <m/>
    <n v="0"/>
    <n v="1"/>
    <n v="1376"/>
    <n v="2"/>
    <x v="0"/>
    <n v="1"/>
    <n v="3"/>
    <n v="45"/>
    <n v="3"/>
    <n v="4"/>
    <n v="3"/>
    <n v="14852"/>
    <n v="13938"/>
    <n v="6"/>
    <n v="13"/>
    <x v="0"/>
    <n v="3"/>
    <n v="80"/>
    <n v="1"/>
    <n v="22"/>
    <n v="4"/>
    <n v="17"/>
    <n v="13"/>
    <n v="15"/>
    <n v="2"/>
  </r>
  <r>
    <s v="No"/>
    <s v="Travel_Rarely"/>
    <x v="2"/>
    <s v="Current Employees"/>
    <x v="0"/>
    <x v="1"/>
    <s v="STAFF-982"/>
    <n v="982"/>
    <x v="1"/>
    <x v="0"/>
    <x v="2"/>
    <s v="No"/>
    <s v="Y"/>
    <n v="2"/>
    <n v="-2"/>
    <n v="0"/>
    <n v="30"/>
    <n v="0"/>
    <m/>
    <n v="0"/>
    <n v="1"/>
    <n v="231"/>
    <n v="8"/>
    <x v="0"/>
    <n v="1"/>
    <n v="3"/>
    <n v="62"/>
    <n v="3"/>
    <n v="3"/>
    <n v="3"/>
    <n v="7264"/>
    <n v="9977"/>
    <n v="5"/>
    <n v="11"/>
    <x v="0"/>
    <n v="1"/>
    <n v="80"/>
    <n v="1"/>
    <n v="10"/>
    <n v="4"/>
    <n v="8"/>
    <n v="4"/>
    <n v="7"/>
    <n v="7"/>
  </r>
  <r>
    <s v="No"/>
    <s v="Non-Travel"/>
    <x v="0"/>
    <s v="Current Employees"/>
    <x v="0"/>
    <x v="4"/>
    <s v="STAFF-983"/>
    <n v="983"/>
    <x v="0"/>
    <x v="0"/>
    <x v="0"/>
    <s v="Yes"/>
    <s v="Y"/>
    <n v="1"/>
    <n v="-2"/>
    <n v="0"/>
    <n v="38"/>
    <n v="0"/>
    <m/>
    <n v="0"/>
    <n v="1"/>
    <n v="152"/>
    <n v="10"/>
    <x v="3"/>
    <n v="1"/>
    <n v="4"/>
    <n v="85"/>
    <n v="3"/>
    <n v="2"/>
    <n v="4"/>
    <n v="5666"/>
    <n v="19899"/>
    <n v="1"/>
    <n v="13"/>
    <x v="0"/>
    <n v="2"/>
    <n v="80"/>
    <n v="0"/>
    <n v="6"/>
    <n v="3"/>
    <n v="5"/>
    <n v="3"/>
    <n v="1"/>
    <n v="3"/>
  </r>
  <r>
    <s v="No"/>
    <s v="Travel_Rarely"/>
    <x v="0"/>
    <s v="Current Employees"/>
    <x v="0"/>
    <x v="0"/>
    <s v="STAFF-984"/>
    <n v="984"/>
    <x v="1"/>
    <x v="0"/>
    <x v="2"/>
    <s v="No"/>
    <s v="Y"/>
    <n v="2"/>
    <n v="-2"/>
    <n v="0"/>
    <n v="35"/>
    <n v="0"/>
    <m/>
    <n v="0"/>
    <n v="1"/>
    <n v="882"/>
    <n v="3"/>
    <x v="2"/>
    <n v="1"/>
    <n v="4"/>
    <n v="92"/>
    <n v="3"/>
    <n v="3"/>
    <n v="1"/>
    <n v="7823"/>
    <n v="6812"/>
    <n v="6"/>
    <n v="13"/>
    <x v="0"/>
    <n v="2"/>
    <n v="80"/>
    <n v="1"/>
    <n v="12"/>
    <n v="3"/>
    <n v="10"/>
    <n v="9"/>
    <n v="0"/>
    <n v="8"/>
  </r>
  <r>
    <s v="No"/>
    <s v="Travel_Rarely"/>
    <x v="0"/>
    <s v="Current Employees"/>
    <x v="0"/>
    <x v="0"/>
    <s v="STAFF-985"/>
    <n v="985"/>
    <x v="1"/>
    <x v="0"/>
    <x v="0"/>
    <s v="No"/>
    <s v="Y"/>
    <n v="3"/>
    <n v="-2"/>
    <n v="0"/>
    <n v="39"/>
    <n v="0"/>
    <m/>
    <n v="0"/>
    <n v="1"/>
    <n v="903"/>
    <n v="2"/>
    <x v="4"/>
    <n v="1"/>
    <n v="1"/>
    <n v="41"/>
    <n v="4"/>
    <n v="3"/>
    <n v="1"/>
    <n v="7880"/>
    <n v="2560"/>
    <n v="0"/>
    <n v="18"/>
    <x v="0"/>
    <n v="4"/>
    <n v="80"/>
    <n v="0"/>
    <n v="9"/>
    <n v="3"/>
    <n v="8"/>
    <n v="7"/>
    <n v="0"/>
    <n v="7"/>
  </r>
  <r>
    <s v="Yes"/>
    <s v="Non-Travel"/>
    <x v="0"/>
    <s v="Ex-Employees"/>
    <x v="0"/>
    <x v="0"/>
    <s v="STAFF-986"/>
    <n v="986"/>
    <x v="0"/>
    <x v="0"/>
    <x v="0"/>
    <s v="Yes"/>
    <s v="Y"/>
    <n v="2"/>
    <n v="-2"/>
    <n v="0"/>
    <n v="40"/>
    <n v="1"/>
    <n v="1"/>
    <n v="1"/>
    <n v="0"/>
    <n v="1479"/>
    <n v="24"/>
    <x v="3"/>
    <n v="1"/>
    <n v="2"/>
    <n v="100"/>
    <n v="4"/>
    <n v="4"/>
    <n v="1"/>
    <n v="13194"/>
    <n v="17071"/>
    <n v="4"/>
    <n v="16"/>
    <x v="0"/>
    <n v="4"/>
    <n v="80"/>
    <n v="0"/>
    <n v="22"/>
    <n v="2"/>
    <n v="1"/>
    <n v="0"/>
    <n v="0"/>
    <n v="0"/>
  </r>
  <r>
    <s v="No"/>
    <s v="Travel_Frequently"/>
    <x v="1"/>
    <s v="Current Employees"/>
    <x v="1"/>
    <x v="2"/>
    <s v="STAFF-987"/>
    <n v="987"/>
    <x v="1"/>
    <x v="3"/>
    <x v="2"/>
    <s v="Yes"/>
    <s v="Y"/>
    <n v="3"/>
    <n v="-2"/>
    <n v="0"/>
    <n v="47"/>
    <n v="0"/>
    <m/>
    <n v="0"/>
    <n v="1"/>
    <n v="1379"/>
    <n v="16"/>
    <x v="2"/>
    <n v="1"/>
    <n v="3"/>
    <n v="64"/>
    <n v="4"/>
    <n v="2"/>
    <n v="3"/>
    <n v="5067"/>
    <n v="6759"/>
    <n v="1"/>
    <n v="19"/>
    <x v="0"/>
    <n v="3"/>
    <n v="80"/>
    <n v="0"/>
    <n v="20"/>
    <n v="4"/>
    <n v="19"/>
    <n v="10"/>
    <n v="2"/>
    <n v="7"/>
  </r>
  <r>
    <s v="No"/>
    <s v="Non-Travel"/>
    <x v="0"/>
    <s v="Current Employees"/>
    <x v="0"/>
    <x v="4"/>
    <s v="STAFF-990"/>
    <n v="990"/>
    <x v="1"/>
    <x v="0"/>
    <x v="2"/>
    <s v="No"/>
    <s v="Y"/>
    <n v="3"/>
    <n v="-2"/>
    <n v="0"/>
    <n v="36"/>
    <n v="0"/>
    <m/>
    <n v="0"/>
    <n v="1"/>
    <n v="1229"/>
    <n v="8"/>
    <x v="2"/>
    <n v="1"/>
    <n v="4"/>
    <n v="84"/>
    <n v="3"/>
    <n v="2"/>
    <n v="4"/>
    <n v="5079"/>
    <n v="25952"/>
    <n v="4"/>
    <n v="13"/>
    <x v="0"/>
    <n v="4"/>
    <n v="80"/>
    <n v="2"/>
    <n v="12"/>
    <n v="3"/>
    <n v="7"/>
    <n v="7"/>
    <n v="0"/>
    <n v="7"/>
  </r>
  <r>
    <s v="Yes"/>
    <s v="Non-Travel"/>
    <x v="2"/>
    <s v="Ex-Employees"/>
    <x v="1"/>
    <x v="2"/>
    <s v="STAFF-991"/>
    <n v="991"/>
    <x v="1"/>
    <x v="1"/>
    <x v="0"/>
    <s v="Yes"/>
    <s v="Y"/>
    <n v="0"/>
    <n v="-2"/>
    <n v="0"/>
    <n v="31"/>
    <n v="1"/>
    <n v="1"/>
    <n v="1"/>
    <n v="0"/>
    <n v="335"/>
    <n v="9"/>
    <x v="0"/>
    <n v="1"/>
    <n v="3"/>
    <n v="46"/>
    <n v="2"/>
    <n v="1"/>
    <n v="3"/>
    <n v="2321"/>
    <n v="10322"/>
    <n v="0"/>
    <n v="22"/>
    <x v="1"/>
    <n v="1"/>
    <n v="80"/>
    <n v="0"/>
    <n v="4"/>
    <n v="3"/>
    <n v="3"/>
    <n v="2"/>
    <n v="1"/>
    <n v="2"/>
  </r>
  <r>
    <s v="No"/>
    <s v="Non-Travel"/>
    <x v="2"/>
    <s v="Current Employees"/>
    <x v="0"/>
    <x v="0"/>
    <s v="STAFF-992"/>
    <n v="992"/>
    <x v="1"/>
    <x v="5"/>
    <x v="0"/>
    <s v="No"/>
    <s v="Y"/>
    <n v="2"/>
    <n v="-2"/>
    <n v="0"/>
    <n v="33"/>
    <n v="0"/>
    <m/>
    <n v="0"/>
    <n v="1"/>
    <n v="722"/>
    <n v="17"/>
    <x v="3"/>
    <n v="1"/>
    <n v="4"/>
    <n v="38"/>
    <n v="3"/>
    <n v="4"/>
    <n v="1"/>
    <n v="17444"/>
    <n v="20489"/>
    <n v="1"/>
    <n v="11"/>
    <x v="0"/>
    <n v="4"/>
    <n v="80"/>
    <n v="0"/>
    <n v="10"/>
    <n v="3"/>
    <n v="10"/>
    <n v="8"/>
    <n v="6"/>
    <n v="0"/>
  </r>
  <r>
    <s v="Yes"/>
    <s v="Travel_Rarely"/>
    <x v="2"/>
    <s v="Ex-Employees"/>
    <x v="1"/>
    <x v="0"/>
    <s v="STAFF-994"/>
    <n v="994"/>
    <x v="0"/>
    <x v="1"/>
    <x v="0"/>
    <s v="Yes"/>
    <s v="Y"/>
    <n v="5"/>
    <n v="-2"/>
    <n v="0"/>
    <n v="29"/>
    <n v="1"/>
    <n v="1"/>
    <n v="1"/>
    <n v="0"/>
    <n v="906"/>
    <n v="10"/>
    <x v="3"/>
    <n v="1"/>
    <n v="4"/>
    <n v="92"/>
    <n v="2"/>
    <n v="1"/>
    <n v="1"/>
    <n v="2404"/>
    <n v="11479"/>
    <n v="6"/>
    <n v="20"/>
    <x v="1"/>
    <n v="3"/>
    <n v="80"/>
    <n v="0"/>
    <n v="3"/>
    <n v="3"/>
    <n v="0"/>
    <n v="0"/>
    <n v="0"/>
    <n v="0"/>
  </r>
  <r>
    <s v="No"/>
    <s v="Travel_Rarely"/>
    <x v="2"/>
    <s v="Current Employees"/>
    <x v="1"/>
    <x v="0"/>
    <s v="STAFF-995"/>
    <n v="995"/>
    <x v="0"/>
    <x v="1"/>
    <x v="0"/>
    <s v="No"/>
    <s v="Y"/>
    <n v="4"/>
    <n v="-2"/>
    <n v="0"/>
    <n v="33"/>
    <n v="0"/>
    <m/>
    <n v="0"/>
    <n v="1"/>
    <n v="461"/>
    <n v="13"/>
    <x v="1"/>
    <n v="1"/>
    <n v="2"/>
    <n v="53"/>
    <n v="3"/>
    <n v="1"/>
    <n v="1"/>
    <n v="3452"/>
    <n v="17241"/>
    <n v="3"/>
    <n v="18"/>
    <x v="0"/>
    <n v="1"/>
    <n v="80"/>
    <n v="0"/>
    <n v="5"/>
    <n v="3"/>
    <n v="3"/>
    <n v="2"/>
    <n v="0"/>
    <n v="2"/>
  </r>
  <r>
    <s v="No"/>
    <s v="Travel_Rarely"/>
    <x v="1"/>
    <s v="Current Employees"/>
    <x v="1"/>
    <x v="2"/>
    <s v="STAFF-996"/>
    <n v="996"/>
    <x v="0"/>
    <x v="2"/>
    <x v="2"/>
    <s v="No"/>
    <s v="Y"/>
    <n v="2"/>
    <n v="-2"/>
    <n v="0"/>
    <n v="45"/>
    <n v="0"/>
    <m/>
    <n v="0"/>
    <n v="1"/>
    <n v="974"/>
    <n v="1"/>
    <x v="2"/>
    <n v="1"/>
    <n v="4"/>
    <n v="91"/>
    <n v="3"/>
    <n v="1"/>
    <n v="4"/>
    <n v="2270"/>
    <n v="11005"/>
    <n v="3"/>
    <n v="14"/>
    <x v="0"/>
    <n v="4"/>
    <n v="80"/>
    <n v="2"/>
    <n v="8"/>
    <n v="3"/>
    <n v="5"/>
    <n v="3"/>
    <n v="0"/>
    <n v="2"/>
  </r>
  <r>
    <s v="No"/>
    <s v="Travel_Rarely"/>
    <x v="1"/>
    <s v="Current Employees"/>
    <x v="1"/>
    <x v="2"/>
    <s v="STAFF-997"/>
    <n v="997"/>
    <x v="1"/>
    <x v="7"/>
    <x v="2"/>
    <s v="No"/>
    <s v="Y"/>
    <n v="1"/>
    <n v="-2"/>
    <n v="0"/>
    <n v="50"/>
    <n v="0"/>
    <m/>
    <n v="0"/>
    <n v="1"/>
    <n v="1126"/>
    <n v="1"/>
    <x v="0"/>
    <n v="1"/>
    <n v="4"/>
    <n v="66"/>
    <n v="3"/>
    <n v="4"/>
    <n v="4"/>
    <n v="17399"/>
    <n v="6615"/>
    <n v="9"/>
    <n v="22"/>
    <x v="1"/>
    <n v="3"/>
    <n v="80"/>
    <n v="1"/>
    <n v="32"/>
    <n v="2"/>
    <n v="5"/>
    <n v="4"/>
    <n v="1"/>
    <n v="3"/>
  </r>
  <r>
    <s v="No"/>
    <s v="Travel_Frequently"/>
    <x v="2"/>
    <s v="Current Employees"/>
    <x v="1"/>
    <x v="1"/>
    <s v="STAFF-998"/>
    <n v="998"/>
    <x v="0"/>
    <x v="4"/>
    <x v="1"/>
    <s v="Yes"/>
    <s v="Y"/>
    <n v="2"/>
    <n v="-2"/>
    <n v="0"/>
    <n v="33"/>
    <n v="0"/>
    <m/>
    <n v="0"/>
    <n v="1"/>
    <n v="827"/>
    <n v="1"/>
    <x v="2"/>
    <n v="1"/>
    <n v="3"/>
    <n v="84"/>
    <n v="4"/>
    <n v="2"/>
    <n v="3"/>
    <n v="5488"/>
    <n v="20161"/>
    <n v="1"/>
    <n v="13"/>
    <x v="0"/>
    <n v="1"/>
    <n v="80"/>
    <n v="1"/>
    <n v="6"/>
    <n v="3"/>
    <n v="6"/>
    <n v="5"/>
    <n v="1"/>
    <n v="2"/>
  </r>
  <r>
    <s v="No"/>
    <s v="Travel_Frequently"/>
    <x v="0"/>
    <s v="Current Employees"/>
    <x v="1"/>
    <x v="2"/>
    <s v="STAFF-999"/>
    <n v="999"/>
    <x v="1"/>
    <x v="7"/>
    <x v="2"/>
    <s v="No"/>
    <s v="Y"/>
    <n v="2"/>
    <n v="-2"/>
    <n v="0"/>
    <n v="41"/>
    <n v="0"/>
    <m/>
    <n v="0"/>
    <n v="1"/>
    <n v="840"/>
    <n v="9"/>
    <x v="3"/>
    <n v="1"/>
    <n v="1"/>
    <n v="64"/>
    <n v="3"/>
    <n v="5"/>
    <n v="3"/>
    <n v="19419"/>
    <n v="3735"/>
    <n v="2"/>
    <n v="17"/>
    <x v="0"/>
    <n v="2"/>
    <n v="80"/>
    <n v="1"/>
    <n v="21"/>
    <n v="4"/>
    <n v="18"/>
    <n v="16"/>
    <n v="0"/>
    <n v="11"/>
  </r>
  <r>
    <s v="No"/>
    <s v="Travel_Rarely"/>
    <x v="2"/>
    <s v="Current Employees"/>
    <x v="1"/>
    <x v="4"/>
    <s v="STAFF-1001"/>
    <n v="1001"/>
    <x v="0"/>
    <x v="2"/>
    <x v="1"/>
    <s v="No"/>
    <s v="Y"/>
    <n v="2"/>
    <n v="-2"/>
    <n v="0"/>
    <n v="27"/>
    <n v="0"/>
    <m/>
    <n v="0"/>
    <n v="1"/>
    <n v="1134"/>
    <n v="16"/>
    <x v="2"/>
    <n v="1"/>
    <n v="4"/>
    <n v="37"/>
    <n v="3"/>
    <n v="1"/>
    <n v="4"/>
    <n v="2811"/>
    <n v="12086"/>
    <n v="9"/>
    <n v="14"/>
    <x v="0"/>
    <n v="2"/>
    <n v="80"/>
    <n v="1"/>
    <n v="4"/>
    <n v="3"/>
    <n v="2"/>
    <n v="2"/>
    <n v="2"/>
    <n v="2"/>
  </r>
  <r>
    <s v="No"/>
    <s v="Non-Travel"/>
    <x v="1"/>
    <s v="Current Employees"/>
    <x v="1"/>
    <x v="0"/>
    <s v="STAFF-1002"/>
    <n v="1002"/>
    <x v="1"/>
    <x v="2"/>
    <x v="1"/>
    <s v="Yes"/>
    <s v="Y"/>
    <n v="2"/>
    <n v="-2"/>
    <n v="0"/>
    <n v="45"/>
    <n v="0"/>
    <m/>
    <n v="0"/>
    <n v="1"/>
    <n v="248"/>
    <n v="23"/>
    <x v="0"/>
    <n v="1"/>
    <n v="4"/>
    <n v="42"/>
    <n v="3"/>
    <n v="2"/>
    <n v="1"/>
    <n v="3633"/>
    <n v="14039"/>
    <n v="1"/>
    <n v="15"/>
    <x v="0"/>
    <n v="3"/>
    <n v="80"/>
    <n v="1"/>
    <n v="9"/>
    <n v="3"/>
    <n v="9"/>
    <n v="8"/>
    <n v="0"/>
    <n v="8"/>
  </r>
  <r>
    <s v="No"/>
    <s v="Travel_Rarely"/>
    <x v="1"/>
    <s v="Current Employees"/>
    <x v="0"/>
    <x v="0"/>
    <s v="STAFF-1003"/>
    <n v="1003"/>
    <x v="0"/>
    <x v="0"/>
    <x v="0"/>
    <s v="Yes"/>
    <s v="Y"/>
    <n v="0"/>
    <n v="-2"/>
    <n v="0"/>
    <n v="47"/>
    <n v="0"/>
    <m/>
    <n v="0"/>
    <n v="1"/>
    <n v="955"/>
    <n v="4"/>
    <x v="0"/>
    <n v="1"/>
    <n v="4"/>
    <n v="83"/>
    <n v="3"/>
    <n v="2"/>
    <n v="1"/>
    <n v="4163"/>
    <n v="8571"/>
    <n v="1"/>
    <n v="17"/>
    <x v="0"/>
    <n v="3"/>
    <n v="80"/>
    <n v="0"/>
    <n v="9"/>
    <n v="3"/>
    <n v="9"/>
    <n v="0"/>
    <n v="0"/>
    <n v="7"/>
  </r>
  <r>
    <s v="Yes"/>
    <s v="Travel_Rarely"/>
    <x v="2"/>
    <s v="Ex-Employees"/>
    <x v="1"/>
    <x v="0"/>
    <s v="STAFF-1004"/>
    <n v="1004"/>
    <x v="0"/>
    <x v="1"/>
    <x v="1"/>
    <s v="Yes"/>
    <s v="Y"/>
    <n v="2"/>
    <n v="-2"/>
    <n v="0"/>
    <n v="30"/>
    <n v="1"/>
    <n v="1"/>
    <n v="1"/>
    <n v="0"/>
    <n v="138"/>
    <n v="22"/>
    <x v="3"/>
    <n v="1"/>
    <n v="1"/>
    <n v="48"/>
    <n v="3"/>
    <n v="1"/>
    <n v="1"/>
    <n v="2132"/>
    <n v="11539"/>
    <n v="4"/>
    <n v="11"/>
    <x v="0"/>
    <n v="2"/>
    <n v="80"/>
    <n v="0"/>
    <n v="7"/>
    <n v="3"/>
    <n v="5"/>
    <n v="2"/>
    <n v="0"/>
    <n v="1"/>
  </r>
  <r>
    <s v="No"/>
    <s v="Travel_Rarely"/>
    <x v="1"/>
    <s v="Current Employees"/>
    <x v="1"/>
    <x v="0"/>
    <s v="STAFF-1005"/>
    <n v="1005"/>
    <x v="1"/>
    <x v="3"/>
    <x v="1"/>
    <s v="Yes"/>
    <s v="Y"/>
    <n v="2"/>
    <n v="-2"/>
    <n v="0"/>
    <n v="50"/>
    <n v="0"/>
    <m/>
    <n v="0"/>
    <n v="1"/>
    <n v="939"/>
    <n v="24"/>
    <x v="3"/>
    <n v="1"/>
    <n v="4"/>
    <n v="95"/>
    <n v="3"/>
    <n v="4"/>
    <n v="1"/>
    <n v="13973"/>
    <n v="4161"/>
    <n v="3"/>
    <n v="18"/>
    <x v="0"/>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x v="0"/>
    <n v="2"/>
    <n v="80"/>
    <n v="1"/>
    <n v="3"/>
    <n v="2"/>
    <n v="2"/>
    <n v="1"/>
    <n v="0"/>
    <n v="2"/>
  </r>
  <r>
    <s v="No"/>
    <s v="Travel_Rarely"/>
    <x v="1"/>
    <s v="Current Employees"/>
    <x v="1"/>
    <x v="2"/>
    <s v="STAFF-1007"/>
    <n v="1007"/>
    <x v="1"/>
    <x v="3"/>
    <x v="2"/>
    <s v="No"/>
    <s v="Y"/>
    <n v="3"/>
    <n v="-2"/>
    <n v="0"/>
    <n v="46"/>
    <n v="0"/>
    <m/>
    <n v="0"/>
    <n v="1"/>
    <n v="566"/>
    <n v="7"/>
    <x v="0"/>
    <n v="1"/>
    <n v="4"/>
    <n v="75"/>
    <n v="3"/>
    <n v="3"/>
    <n v="3"/>
    <n v="10845"/>
    <n v="24208"/>
    <n v="6"/>
    <n v="13"/>
    <x v="0"/>
    <n v="2"/>
    <n v="80"/>
    <n v="1"/>
    <n v="13"/>
    <n v="3"/>
    <n v="8"/>
    <n v="7"/>
    <n v="0"/>
    <n v="7"/>
  </r>
  <r>
    <s v="No"/>
    <s v="Travel_Rarely"/>
    <x v="4"/>
    <s v="Current Employees"/>
    <x v="1"/>
    <x v="2"/>
    <s v="STAFF-1009"/>
    <n v="1009"/>
    <x v="0"/>
    <x v="3"/>
    <x v="2"/>
    <s v="No"/>
    <s v="Y"/>
    <n v="6"/>
    <n v="-2"/>
    <n v="0"/>
    <n v="24"/>
    <n v="0"/>
    <m/>
    <n v="0"/>
    <n v="1"/>
    <n v="1206"/>
    <n v="17"/>
    <x v="1"/>
    <n v="1"/>
    <n v="4"/>
    <n v="41"/>
    <n v="2"/>
    <n v="2"/>
    <n v="3"/>
    <n v="4377"/>
    <n v="24117"/>
    <n v="1"/>
    <n v="15"/>
    <x v="0"/>
    <n v="2"/>
    <n v="80"/>
    <n v="2"/>
    <n v="5"/>
    <n v="3"/>
    <n v="4"/>
    <n v="2"/>
    <n v="3"/>
    <n v="2"/>
  </r>
  <r>
    <s v="Yes"/>
    <s v="Travel_Rarely"/>
    <x v="0"/>
    <s v="Ex-Employees"/>
    <x v="1"/>
    <x v="1"/>
    <s v="STAFF-1010"/>
    <n v="1010"/>
    <x v="1"/>
    <x v="2"/>
    <x v="2"/>
    <s v="Yes"/>
    <s v="Y"/>
    <n v="2"/>
    <n v="-2"/>
    <n v="0"/>
    <n v="35"/>
    <n v="1"/>
    <n v="1"/>
    <n v="1"/>
    <n v="0"/>
    <n v="622"/>
    <n v="14"/>
    <x v="2"/>
    <n v="1"/>
    <n v="3"/>
    <n v="39"/>
    <n v="2"/>
    <n v="1"/>
    <n v="3"/>
    <n v="3743"/>
    <n v="10074"/>
    <n v="1"/>
    <n v="24"/>
    <x v="1"/>
    <n v="4"/>
    <n v="80"/>
    <n v="1"/>
    <n v="5"/>
    <n v="1"/>
    <n v="4"/>
    <n v="2"/>
    <n v="0"/>
    <n v="2"/>
  </r>
  <r>
    <s v="No"/>
    <s v="Travel_Frequently"/>
    <x v="2"/>
    <s v="Current Employees"/>
    <x v="1"/>
    <x v="0"/>
    <s v="STAFF-1011"/>
    <n v="1011"/>
    <x v="0"/>
    <x v="3"/>
    <x v="1"/>
    <s v="No"/>
    <s v="Y"/>
    <n v="1"/>
    <n v="-2"/>
    <n v="0"/>
    <n v="31"/>
    <n v="0"/>
    <m/>
    <n v="0"/>
    <n v="1"/>
    <n v="853"/>
    <n v="1"/>
    <x v="1"/>
    <n v="1"/>
    <n v="3"/>
    <n v="96"/>
    <n v="3"/>
    <n v="2"/>
    <n v="1"/>
    <n v="4148"/>
    <n v="11275"/>
    <n v="1"/>
    <n v="12"/>
    <x v="0"/>
    <n v="3"/>
    <n v="80"/>
    <n v="1"/>
    <n v="4"/>
    <n v="3"/>
    <n v="4"/>
    <n v="3"/>
    <n v="0"/>
    <n v="3"/>
  </r>
  <r>
    <s v="No"/>
    <s v="Non-Travel"/>
    <x v="4"/>
    <s v="Current Employees"/>
    <x v="1"/>
    <x v="0"/>
    <s v="STAFF-1012"/>
    <n v="1012"/>
    <x v="1"/>
    <x v="1"/>
    <x v="0"/>
    <s v="No"/>
    <s v="Y"/>
    <n v="2"/>
    <n v="-2"/>
    <n v="0"/>
    <n v="18"/>
    <n v="0"/>
    <m/>
    <n v="0"/>
    <n v="1"/>
    <n v="287"/>
    <n v="5"/>
    <x v="0"/>
    <n v="1"/>
    <n v="2"/>
    <n v="73"/>
    <n v="3"/>
    <n v="1"/>
    <n v="1"/>
    <n v="1051"/>
    <n v="13493"/>
    <n v="1"/>
    <n v="15"/>
    <x v="0"/>
    <n v="4"/>
    <n v="80"/>
    <n v="0"/>
    <n v="0"/>
    <n v="3"/>
    <n v="0"/>
    <n v="0"/>
    <n v="0"/>
    <n v="0"/>
  </r>
  <r>
    <s v="No"/>
    <s v="Travel_Rarely"/>
    <x v="1"/>
    <s v="Current Employees"/>
    <x v="1"/>
    <x v="4"/>
    <s v="STAFF-1013"/>
    <n v="1013"/>
    <x v="0"/>
    <x v="3"/>
    <x v="1"/>
    <s v="No"/>
    <s v="Y"/>
    <n v="2"/>
    <n v="-2"/>
    <n v="0"/>
    <n v="54"/>
    <n v="0"/>
    <m/>
    <n v="0"/>
    <n v="1"/>
    <n v="1441"/>
    <n v="17"/>
    <x v="3"/>
    <n v="1"/>
    <n v="4"/>
    <n v="56"/>
    <n v="3"/>
    <n v="3"/>
    <n v="4"/>
    <n v="10739"/>
    <n v="13943"/>
    <n v="8"/>
    <n v="11"/>
    <x v="0"/>
    <n v="3"/>
    <n v="80"/>
    <n v="1"/>
    <n v="22"/>
    <n v="3"/>
    <n v="10"/>
    <n v="7"/>
    <n v="0"/>
    <n v="8"/>
  </r>
  <r>
    <s v="No"/>
    <s v="Travel_Rarely"/>
    <x v="0"/>
    <s v="Current Employees"/>
    <x v="1"/>
    <x v="2"/>
    <s v="STAFF-1014"/>
    <n v="1014"/>
    <x v="0"/>
    <x v="4"/>
    <x v="2"/>
    <s v="Yes"/>
    <s v="Y"/>
    <n v="3"/>
    <n v="-2"/>
    <n v="0"/>
    <n v="35"/>
    <n v="0"/>
    <m/>
    <n v="0"/>
    <n v="1"/>
    <n v="583"/>
    <n v="25"/>
    <x v="2"/>
    <n v="1"/>
    <n v="3"/>
    <n v="57"/>
    <n v="3"/>
    <n v="3"/>
    <n v="3"/>
    <n v="10388"/>
    <n v="6975"/>
    <n v="1"/>
    <n v="11"/>
    <x v="0"/>
    <n v="3"/>
    <n v="80"/>
    <n v="1"/>
    <n v="16"/>
    <n v="2"/>
    <n v="16"/>
    <n v="10"/>
    <n v="10"/>
    <n v="1"/>
  </r>
  <r>
    <s v="No"/>
    <s v="Travel_Rarely"/>
    <x v="2"/>
    <s v="Current Employees"/>
    <x v="1"/>
    <x v="0"/>
    <s v="STAFF-1015"/>
    <n v="1015"/>
    <x v="0"/>
    <x v="7"/>
    <x v="1"/>
    <s v="Yes"/>
    <s v="Y"/>
    <n v="4"/>
    <n v="-2"/>
    <n v="0"/>
    <n v="30"/>
    <n v="0"/>
    <m/>
    <n v="0"/>
    <n v="1"/>
    <n v="153"/>
    <n v="8"/>
    <x v="0"/>
    <n v="1"/>
    <n v="2"/>
    <n v="73"/>
    <n v="4"/>
    <n v="3"/>
    <n v="1"/>
    <n v="11416"/>
    <n v="17802"/>
    <n v="0"/>
    <n v="12"/>
    <x v="0"/>
    <n v="3"/>
    <n v="80"/>
    <n v="3"/>
    <n v="9"/>
    <n v="2"/>
    <n v="8"/>
    <n v="7"/>
    <n v="1"/>
    <n v="7"/>
  </r>
  <r>
    <s v="Yes"/>
    <s v="Travel_Rarely"/>
    <x v="4"/>
    <s v="Ex-Employees"/>
    <x v="1"/>
    <x v="2"/>
    <s v="STAFF-1016"/>
    <n v="1016"/>
    <x v="0"/>
    <x v="1"/>
    <x v="0"/>
    <s v="Yes"/>
    <s v="Y"/>
    <n v="2"/>
    <n v="-2"/>
    <n v="0"/>
    <n v="20"/>
    <n v="1"/>
    <n v="1"/>
    <n v="1"/>
    <n v="0"/>
    <n v="1097"/>
    <n v="11"/>
    <x v="3"/>
    <n v="1"/>
    <n v="4"/>
    <n v="98"/>
    <n v="2"/>
    <n v="1"/>
    <n v="3"/>
    <n v="2600"/>
    <n v="18275"/>
    <n v="1"/>
    <n v="15"/>
    <x v="0"/>
    <n v="1"/>
    <n v="80"/>
    <n v="0"/>
    <n v="1"/>
    <n v="3"/>
    <n v="1"/>
    <n v="0"/>
    <n v="0"/>
    <n v="0"/>
  </r>
  <r>
    <s v="Yes"/>
    <s v="Travel_Frequently"/>
    <x v="2"/>
    <s v="Ex-Employees"/>
    <x v="1"/>
    <x v="2"/>
    <s v="STAFF-1017"/>
    <n v="1017"/>
    <x v="0"/>
    <x v="2"/>
    <x v="0"/>
    <s v="No"/>
    <s v="Y"/>
    <n v="3"/>
    <n v="-2"/>
    <n v="0"/>
    <n v="30"/>
    <n v="1"/>
    <n v="1"/>
    <n v="1"/>
    <n v="0"/>
    <n v="109"/>
    <n v="5"/>
    <x v="3"/>
    <n v="1"/>
    <n v="2"/>
    <n v="60"/>
    <n v="3"/>
    <n v="1"/>
    <n v="3"/>
    <n v="2422"/>
    <n v="25725"/>
    <n v="0"/>
    <n v="17"/>
    <x v="0"/>
    <n v="1"/>
    <n v="80"/>
    <n v="0"/>
    <n v="4"/>
    <n v="3"/>
    <n v="3"/>
    <n v="2"/>
    <n v="1"/>
    <n v="2"/>
  </r>
  <r>
    <s v="No"/>
    <s v="Travel_Rarely"/>
    <x v="2"/>
    <s v="Current Employees"/>
    <x v="1"/>
    <x v="2"/>
    <s v="STAFF-1018"/>
    <n v="1018"/>
    <x v="1"/>
    <x v="3"/>
    <x v="1"/>
    <s v="No"/>
    <s v="Y"/>
    <n v="2"/>
    <n v="-2"/>
    <n v="0"/>
    <n v="26"/>
    <n v="0"/>
    <m/>
    <n v="0"/>
    <n v="1"/>
    <n v="1066"/>
    <n v="2"/>
    <x v="0"/>
    <n v="1"/>
    <n v="4"/>
    <n v="32"/>
    <n v="4"/>
    <n v="2"/>
    <n v="4"/>
    <n v="5472"/>
    <n v="3334"/>
    <n v="1"/>
    <n v="12"/>
    <x v="0"/>
    <n v="2"/>
    <n v="80"/>
    <n v="0"/>
    <n v="8"/>
    <n v="3"/>
    <n v="8"/>
    <n v="7"/>
    <n v="1"/>
    <n v="3"/>
  </r>
  <r>
    <s v="No"/>
    <s v="Travel_Rarely"/>
    <x v="4"/>
    <s v="Current Employees"/>
    <x v="1"/>
    <x v="0"/>
    <s v="STAFF-1019"/>
    <n v="1019"/>
    <x v="1"/>
    <x v="2"/>
    <x v="1"/>
    <s v="No"/>
    <s v="Y"/>
    <n v="3"/>
    <n v="-2"/>
    <n v="0"/>
    <n v="22"/>
    <n v="0"/>
    <m/>
    <n v="0"/>
    <n v="1"/>
    <n v="217"/>
    <n v="8"/>
    <x v="1"/>
    <n v="1"/>
    <n v="2"/>
    <n v="94"/>
    <n v="1"/>
    <n v="1"/>
    <n v="1"/>
    <n v="2451"/>
    <n v="6881"/>
    <n v="1"/>
    <n v="15"/>
    <x v="0"/>
    <n v="1"/>
    <n v="80"/>
    <n v="1"/>
    <n v="4"/>
    <n v="2"/>
    <n v="4"/>
    <n v="3"/>
    <n v="1"/>
    <n v="1"/>
  </r>
  <r>
    <s v="No"/>
    <s v="Travel_Rarely"/>
    <x v="1"/>
    <s v="Current Employees"/>
    <x v="1"/>
    <x v="0"/>
    <s v="STAFF-1022"/>
    <n v="1022"/>
    <x v="1"/>
    <x v="4"/>
    <x v="0"/>
    <s v="No"/>
    <s v="Y"/>
    <n v="0"/>
    <n v="-2"/>
    <n v="0"/>
    <n v="48"/>
    <n v="0"/>
    <m/>
    <n v="0"/>
    <n v="1"/>
    <n v="277"/>
    <n v="6"/>
    <x v="3"/>
    <n v="1"/>
    <n v="1"/>
    <n v="97"/>
    <n v="2"/>
    <n v="2"/>
    <n v="1"/>
    <n v="4240"/>
    <n v="13119"/>
    <n v="2"/>
    <n v="13"/>
    <x v="0"/>
    <n v="4"/>
    <n v="80"/>
    <n v="0"/>
    <n v="19"/>
    <n v="3"/>
    <n v="2"/>
    <n v="2"/>
    <n v="2"/>
    <n v="2"/>
  </r>
  <r>
    <s v="No"/>
    <s v="Travel_Rarely"/>
    <x v="1"/>
    <s v="Current Employees"/>
    <x v="1"/>
    <x v="0"/>
    <s v="STAFF-1024"/>
    <n v="1024"/>
    <x v="1"/>
    <x v="4"/>
    <x v="0"/>
    <s v="No"/>
    <s v="Y"/>
    <n v="3"/>
    <n v="-2"/>
    <n v="0"/>
    <n v="48"/>
    <n v="0"/>
    <m/>
    <n v="0"/>
    <n v="1"/>
    <n v="1355"/>
    <n v="4"/>
    <x v="2"/>
    <n v="1"/>
    <n v="3"/>
    <n v="78"/>
    <n v="2"/>
    <n v="3"/>
    <n v="1"/>
    <n v="10999"/>
    <n v="22245"/>
    <n v="7"/>
    <n v="14"/>
    <x v="0"/>
    <n v="2"/>
    <n v="80"/>
    <n v="0"/>
    <n v="27"/>
    <n v="3"/>
    <n v="15"/>
    <n v="11"/>
    <n v="4"/>
    <n v="8"/>
  </r>
  <r>
    <s v="No"/>
    <s v="Travel_Rarely"/>
    <x v="0"/>
    <s v="Current Employees"/>
    <x v="1"/>
    <x v="2"/>
    <s v="STAFF-1025"/>
    <n v="1025"/>
    <x v="0"/>
    <x v="3"/>
    <x v="0"/>
    <s v="No"/>
    <s v="Y"/>
    <n v="6"/>
    <n v="-2"/>
    <n v="0"/>
    <n v="41"/>
    <n v="0"/>
    <m/>
    <n v="0"/>
    <n v="1"/>
    <n v="549"/>
    <n v="7"/>
    <x v="0"/>
    <n v="1"/>
    <n v="4"/>
    <n v="42"/>
    <n v="3"/>
    <n v="2"/>
    <n v="3"/>
    <n v="5003"/>
    <n v="23371"/>
    <n v="6"/>
    <n v="14"/>
    <x v="0"/>
    <n v="2"/>
    <n v="80"/>
    <n v="0"/>
    <n v="8"/>
    <n v="3"/>
    <n v="2"/>
    <n v="2"/>
    <n v="2"/>
    <n v="1"/>
  </r>
  <r>
    <s v="No"/>
    <s v="Travel_Rarely"/>
    <x v="0"/>
    <s v="Current Employees"/>
    <x v="1"/>
    <x v="0"/>
    <s v="STAFF-1026"/>
    <n v="1026"/>
    <x v="0"/>
    <x v="3"/>
    <x v="1"/>
    <s v="No"/>
    <s v="Y"/>
    <n v="3"/>
    <n v="-2"/>
    <n v="0"/>
    <n v="39"/>
    <n v="0"/>
    <m/>
    <n v="0"/>
    <n v="1"/>
    <n v="466"/>
    <n v="1"/>
    <x v="1"/>
    <n v="1"/>
    <n v="4"/>
    <n v="65"/>
    <n v="2"/>
    <n v="4"/>
    <n v="1"/>
    <n v="12742"/>
    <n v="7060"/>
    <n v="1"/>
    <n v="16"/>
    <x v="0"/>
    <n v="3"/>
    <n v="80"/>
    <n v="1"/>
    <n v="21"/>
    <n v="3"/>
    <n v="21"/>
    <n v="6"/>
    <n v="11"/>
    <n v="8"/>
  </r>
  <r>
    <s v="No"/>
    <s v="Travel_Rarely"/>
    <x v="2"/>
    <s v="Current Employees"/>
    <x v="1"/>
    <x v="0"/>
    <s v="STAFF-1027"/>
    <n v="1027"/>
    <x v="0"/>
    <x v="3"/>
    <x v="1"/>
    <s v="No"/>
    <s v="Y"/>
    <n v="2"/>
    <n v="-2"/>
    <n v="0"/>
    <n v="27"/>
    <n v="0"/>
    <m/>
    <n v="0"/>
    <n v="1"/>
    <n v="1055"/>
    <n v="2"/>
    <x v="2"/>
    <n v="1"/>
    <n v="1"/>
    <n v="47"/>
    <n v="3"/>
    <n v="2"/>
    <n v="1"/>
    <n v="4227"/>
    <n v="4658"/>
    <n v="0"/>
    <n v="18"/>
    <x v="0"/>
    <n v="2"/>
    <n v="80"/>
    <n v="1"/>
    <n v="4"/>
    <n v="3"/>
    <n v="3"/>
    <n v="2"/>
    <n v="2"/>
    <n v="2"/>
  </r>
  <r>
    <s v="No"/>
    <s v="Travel_Rarely"/>
    <x v="0"/>
    <s v="Current Employees"/>
    <x v="1"/>
    <x v="1"/>
    <s v="STAFF-1028"/>
    <n v="1028"/>
    <x v="1"/>
    <x v="2"/>
    <x v="2"/>
    <s v="No"/>
    <s v="Y"/>
    <n v="4"/>
    <n v="-2"/>
    <n v="0"/>
    <n v="35"/>
    <n v="0"/>
    <m/>
    <n v="0"/>
    <n v="1"/>
    <n v="802"/>
    <n v="10"/>
    <x v="3"/>
    <n v="1"/>
    <n v="2"/>
    <n v="45"/>
    <n v="3"/>
    <n v="1"/>
    <n v="4"/>
    <n v="3917"/>
    <n v="9541"/>
    <n v="1"/>
    <n v="20"/>
    <x v="1"/>
    <n v="1"/>
    <n v="80"/>
    <n v="1"/>
    <n v="3"/>
    <n v="2"/>
    <n v="3"/>
    <n v="2"/>
    <n v="1"/>
    <n v="2"/>
  </r>
  <r>
    <s v="No"/>
    <s v="Travel_Rarely"/>
    <x v="0"/>
    <s v="Current Employees"/>
    <x v="0"/>
    <x v="3"/>
    <s v="STAFF-1029"/>
    <n v="1029"/>
    <x v="1"/>
    <x v="5"/>
    <x v="1"/>
    <s v="No"/>
    <s v="Y"/>
    <n v="3"/>
    <n v="-2"/>
    <n v="0"/>
    <n v="42"/>
    <n v="0"/>
    <m/>
    <n v="0"/>
    <n v="1"/>
    <n v="265"/>
    <n v="5"/>
    <x v="0"/>
    <n v="1"/>
    <n v="4"/>
    <n v="90"/>
    <n v="3"/>
    <n v="5"/>
    <n v="2"/>
    <n v="18303"/>
    <n v="7770"/>
    <n v="6"/>
    <n v="13"/>
    <x v="0"/>
    <n v="2"/>
    <n v="80"/>
    <n v="0"/>
    <n v="21"/>
    <n v="4"/>
    <n v="1"/>
    <n v="0"/>
    <n v="0"/>
    <n v="0"/>
  </r>
  <r>
    <s v="No"/>
    <s v="Travel_Rarely"/>
    <x v="1"/>
    <s v="Current Employees"/>
    <x v="1"/>
    <x v="0"/>
    <s v="STAFF-1030"/>
    <n v="1030"/>
    <x v="1"/>
    <x v="2"/>
    <x v="1"/>
    <s v="No"/>
    <s v="Y"/>
    <n v="5"/>
    <n v="-2"/>
    <n v="0"/>
    <n v="50"/>
    <n v="0"/>
    <m/>
    <n v="0"/>
    <n v="1"/>
    <n v="804"/>
    <n v="9"/>
    <x v="3"/>
    <n v="1"/>
    <n v="1"/>
    <n v="64"/>
    <n v="3"/>
    <n v="1"/>
    <n v="1"/>
    <n v="2380"/>
    <n v="20165"/>
    <n v="4"/>
    <n v="18"/>
    <x v="0"/>
    <n v="2"/>
    <n v="80"/>
    <n v="0"/>
    <n v="8"/>
    <n v="3"/>
    <n v="1"/>
    <n v="0"/>
    <n v="0"/>
    <n v="0"/>
  </r>
  <r>
    <s v="No"/>
    <s v="Travel_Rarely"/>
    <x v="3"/>
    <s v="Current Employees"/>
    <x v="1"/>
    <x v="0"/>
    <s v="STAFF-1032"/>
    <n v="1032"/>
    <x v="0"/>
    <x v="3"/>
    <x v="0"/>
    <s v="Yes"/>
    <s v="Y"/>
    <n v="4"/>
    <n v="-2"/>
    <n v="0"/>
    <n v="59"/>
    <n v="0"/>
    <m/>
    <n v="0"/>
    <n v="1"/>
    <n v="715"/>
    <n v="2"/>
    <x v="3"/>
    <n v="1"/>
    <n v="3"/>
    <n v="69"/>
    <n v="2"/>
    <n v="4"/>
    <n v="1"/>
    <n v="13726"/>
    <n v="21829"/>
    <n v="3"/>
    <n v="13"/>
    <x v="0"/>
    <n v="1"/>
    <n v="80"/>
    <n v="0"/>
    <n v="30"/>
    <n v="3"/>
    <n v="5"/>
    <n v="3"/>
    <n v="4"/>
    <n v="3"/>
  </r>
  <r>
    <s v="Yes"/>
    <s v="Travel_Rarely"/>
    <x v="0"/>
    <s v="Ex-Employees"/>
    <x v="1"/>
    <x v="2"/>
    <s v="STAFF-1033"/>
    <n v="1033"/>
    <x v="0"/>
    <x v="4"/>
    <x v="1"/>
    <s v="No"/>
    <s v="Y"/>
    <n v="2"/>
    <n v="-2"/>
    <n v="0"/>
    <n v="37"/>
    <n v="1"/>
    <n v="1"/>
    <n v="1"/>
    <n v="0"/>
    <n v="1141"/>
    <n v="11"/>
    <x v="0"/>
    <n v="1"/>
    <n v="1"/>
    <n v="61"/>
    <n v="1"/>
    <n v="2"/>
    <n v="3"/>
    <n v="4777"/>
    <n v="14382"/>
    <n v="5"/>
    <n v="15"/>
    <x v="0"/>
    <n v="1"/>
    <n v="80"/>
    <n v="0"/>
    <n v="15"/>
    <n v="1"/>
    <n v="1"/>
    <n v="0"/>
    <n v="0"/>
    <n v="0"/>
  </r>
  <r>
    <s v="No"/>
    <s v="Travel_Frequently"/>
    <x v="3"/>
    <s v="Current Employees"/>
    <x v="1"/>
    <x v="2"/>
    <s v="STAFF-1034"/>
    <n v="1034"/>
    <x v="1"/>
    <x v="4"/>
    <x v="1"/>
    <s v="Yes"/>
    <s v="Y"/>
    <n v="3"/>
    <n v="-2"/>
    <n v="0"/>
    <n v="55"/>
    <n v="0"/>
    <m/>
    <n v="0"/>
    <n v="1"/>
    <n v="135"/>
    <n v="18"/>
    <x v="2"/>
    <n v="1"/>
    <n v="3"/>
    <n v="62"/>
    <n v="3"/>
    <n v="2"/>
    <n v="3"/>
    <n v="6385"/>
    <n v="12992"/>
    <n v="3"/>
    <n v="14"/>
    <x v="0"/>
    <n v="4"/>
    <n v="80"/>
    <n v="2"/>
    <n v="17"/>
    <n v="3"/>
    <n v="8"/>
    <n v="7"/>
    <n v="6"/>
    <n v="7"/>
  </r>
  <r>
    <s v="No"/>
    <s v="Non-Travel"/>
    <x v="0"/>
    <s v="Current Employees"/>
    <x v="1"/>
    <x v="0"/>
    <s v="STAFF-1035"/>
    <n v="1035"/>
    <x v="0"/>
    <x v="7"/>
    <x v="2"/>
    <s v="No"/>
    <s v="Y"/>
    <n v="3"/>
    <n v="-2"/>
    <n v="0"/>
    <n v="41"/>
    <n v="0"/>
    <m/>
    <n v="0"/>
    <n v="1"/>
    <n v="247"/>
    <n v="7"/>
    <x v="1"/>
    <n v="1"/>
    <n v="2"/>
    <n v="55"/>
    <n v="1"/>
    <n v="5"/>
    <n v="1"/>
    <n v="19973"/>
    <n v="20284"/>
    <n v="1"/>
    <n v="22"/>
    <x v="1"/>
    <n v="2"/>
    <n v="80"/>
    <n v="2"/>
    <n v="21"/>
    <n v="3"/>
    <n v="21"/>
    <n v="16"/>
    <n v="5"/>
    <n v="10"/>
  </r>
  <r>
    <s v="No"/>
    <s v="Travel_Rarely"/>
    <x v="0"/>
    <s v="Current Employees"/>
    <x v="0"/>
    <x v="0"/>
    <s v="STAFF-1036"/>
    <n v="1036"/>
    <x v="1"/>
    <x v="0"/>
    <x v="0"/>
    <s v="Yes"/>
    <s v="Y"/>
    <n v="1"/>
    <n v="-2"/>
    <n v="0"/>
    <n v="38"/>
    <n v="0"/>
    <m/>
    <n v="0"/>
    <n v="1"/>
    <n v="1035"/>
    <n v="3"/>
    <x v="2"/>
    <n v="1"/>
    <n v="2"/>
    <n v="42"/>
    <n v="3"/>
    <n v="2"/>
    <n v="1"/>
    <n v="6861"/>
    <n v="4981"/>
    <n v="8"/>
    <n v="12"/>
    <x v="0"/>
    <n v="3"/>
    <n v="80"/>
    <n v="0"/>
    <n v="19"/>
    <n v="3"/>
    <n v="1"/>
    <n v="0"/>
    <n v="0"/>
    <n v="0"/>
  </r>
  <r>
    <s v="Yes"/>
    <s v="Non-Travel"/>
    <x v="2"/>
    <s v="Ex-Employees"/>
    <x v="0"/>
    <x v="2"/>
    <s v="STAFF-1037"/>
    <n v="1037"/>
    <x v="1"/>
    <x v="0"/>
    <x v="0"/>
    <s v="No"/>
    <s v="Y"/>
    <n v="6"/>
    <n v="-2"/>
    <n v="0"/>
    <n v="26"/>
    <n v="1"/>
    <n v="1"/>
    <n v="1"/>
    <n v="0"/>
    <n v="265"/>
    <n v="29"/>
    <x v="0"/>
    <n v="1"/>
    <n v="2"/>
    <n v="79"/>
    <n v="1"/>
    <n v="2"/>
    <n v="3"/>
    <n v="4969"/>
    <n v="21813"/>
    <n v="8"/>
    <n v="18"/>
    <x v="0"/>
    <n v="4"/>
    <n v="80"/>
    <n v="0"/>
    <n v="7"/>
    <n v="3"/>
    <n v="2"/>
    <n v="2"/>
    <n v="2"/>
    <n v="2"/>
  </r>
  <r>
    <s v="Yes"/>
    <s v="Travel_Rarely"/>
    <x v="1"/>
    <s v="Ex-Employees"/>
    <x v="0"/>
    <x v="3"/>
    <s v="STAFF-1038"/>
    <n v="1038"/>
    <x v="0"/>
    <x v="5"/>
    <x v="1"/>
    <s v="No"/>
    <s v="Y"/>
    <n v="3"/>
    <n v="-2"/>
    <n v="0"/>
    <n v="52"/>
    <n v="1"/>
    <n v="1"/>
    <n v="1"/>
    <n v="0"/>
    <n v="266"/>
    <n v="2"/>
    <x v="1"/>
    <n v="1"/>
    <n v="1"/>
    <n v="57"/>
    <n v="1"/>
    <n v="5"/>
    <n v="2"/>
    <n v="19845"/>
    <n v="25846"/>
    <n v="1"/>
    <n v="15"/>
    <x v="0"/>
    <n v="4"/>
    <n v="80"/>
    <n v="1"/>
    <n v="33"/>
    <n v="3"/>
    <n v="32"/>
    <n v="14"/>
    <n v="6"/>
    <n v="9"/>
  </r>
  <r>
    <s v="No"/>
    <s v="Travel_Rarely"/>
    <x v="0"/>
    <s v="Current Employees"/>
    <x v="0"/>
    <x v="2"/>
    <s v="STAFF-1039"/>
    <n v="1039"/>
    <x v="0"/>
    <x v="0"/>
    <x v="1"/>
    <s v="Yes"/>
    <s v="Y"/>
    <n v="2"/>
    <n v="-2"/>
    <n v="0"/>
    <n v="44"/>
    <n v="0"/>
    <m/>
    <n v="0"/>
    <n v="1"/>
    <n v="1448"/>
    <n v="28"/>
    <x v="3"/>
    <n v="1"/>
    <n v="4"/>
    <n v="53"/>
    <n v="4"/>
    <n v="4"/>
    <n v="4"/>
    <n v="13320"/>
    <n v="11737"/>
    <n v="3"/>
    <n v="18"/>
    <x v="0"/>
    <n v="3"/>
    <n v="80"/>
    <n v="1"/>
    <n v="23"/>
    <n v="3"/>
    <n v="12"/>
    <n v="11"/>
    <n v="11"/>
    <n v="11"/>
  </r>
  <r>
    <s v="No"/>
    <s v="Non-Travel"/>
    <x v="1"/>
    <s v="Current Employees"/>
    <x v="0"/>
    <x v="0"/>
    <s v="STAFF-1040"/>
    <n v="1040"/>
    <x v="0"/>
    <x v="0"/>
    <x v="1"/>
    <s v="No"/>
    <s v="Y"/>
    <n v="3"/>
    <n v="-2"/>
    <n v="0"/>
    <n v="50"/>
    <n v="0"/>
    <m/>
    <n v="0"/>
    <n v="1"/>
    <n v="145"/>
    <n v="1"/>
    <x v="3"/>
    <n v="1"/>
    <n v="4"/>
    <n v="95"/>
    <n v="3"/>
    <n v="2"/>
    <n v="1"/>
    <n v="6347"/>
    <n v="24920"/>
    <n v="0"/>
    <n v="12"/>
    <x v="0"/>
    <n v="1"/>
    <n v="80"/>
    <n v="1"/>
    <n v="19"/>
    <n v="3"/>
    <n v="18"/>
    <n v="7"/>
    <n v="0"/>
    <n v="13"/>
  </r>
  <r>
    <s v="Yes"/>
    <s v="Travel_Rarely"/>
    <x v="0"/>
    <s v="Ex-Employees"/>
    <x v="1"/>
    <x v="0"/>
    <s v="STAFF-1042"/>
    <n v="1042"/>
    <x v="0"/>
    <x v="2"/>
    <x v="0"/>
    <s v="No"/>
    <s v="Y"/>
    <n v="1"/>
    <n v="-2"/>
    <n v="0"/>
    <n v="36"/>
    <n v="1"/>
    <n v="1"/>
    <n v="1"/>
    <n v="0"/>
    <n v="885"/>
    <n v="16"/>
    <x v="2"/>
    <n v="1"/>
    <n v="3"/>
    <n v="43"/>
    <n v="4"/>
    <n v="1"/>
    <n v="1"/>
    <n v="2743"/>
    <n v="8269"/>
    <n v="1"/>
    <n v="16"/>
    <x v="0"/>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x v="0"/>
    <n v="3"/>
    <n v="80"/>
    <n v="0"/>
    <n v="21"/>
    <n v="3"/>
    <n v="21"/>
    <n v="6"/>
    <n v="2"/>
    <n v="8"/>
  </r>
  <r>
    <s v="No"/>
    <s v="Non-Travel"/>
    <x v="2"/>
    <s v="Current Employees"/>
    <x v="0"/>
    <x v="0"/>
    <s v="STAFF-1044"/>
    <n v="1044"/>
    <x v="0"/>
    <x v="6"/>
    <x v="0"/>
    <s v="No"/>
    <s v="Y"/>
    <n v="2"/>
    <n v="-2"/>
    <n v="0"/>
    <n v="33"/>
    <n v="0"/>
    <m/>
    <n v="0"/>
    <n v="1"/>
    <n v="1038"/>
    <n v="8"/>
    <x v="1"/>
    <n v="1"/>
    <n v="2"/>
    <n v="88"/>
    <n v="2"/>
    <n v="1"/>
    <n v="1"/>
    <n v="2342"/>
    <n v="21437"/>
    <n v="0"/>
    <n v="19"/>
    <x v="0"/>
    <n v="4"/>
    <n v="80"/>
    <n v="0"/>
    <n v="3"/>
    <n v="2"/>
    <n v="2"/>
    <n v="2"/>
    <n v="2"/>
    <n v="2"/>
  </r>
  <r>
    <s v="No"/>
    <s v="Travel_Rarely"/>
    <x v="1"/>
    <s v="Current Employees"/>
    <x v="0"/>
    <x v="0"/>
    <s v="STAFF-1045"/>
    <n v="1045"/>
    <x v="0"/>
    <x v="5"/>
    <x v="1"/>
    <s v="No"/>
    <s v="Y"/>
    <n v="4"/>
    <n v="-2"/>
    <n v="0"/>
    <n v="45"/>
    <n v="0"/>
    <m/>
    <n v="0"/>
    <n v="1"/>
    <n v="1234"/>
    <n v="11"/>
    <x v="0"/>
    <n v="1"/>
    <n v="4"/>
    <n v="90"/>
    <n v="3"/>
    <n v="4"/>
    <n v="1"/>
    <n v="17650"/>
    <n v="5404"/>
    <n v="3"/>
    <n v="13"/>
    <x v="0"/>
    <n v="2"/>
    <n v="80"/>
    <n v="1"/>
    <n v="26"/>
    <n v="4"/>
    <n v="9"/>
    <n v="3"/>
    <n v="1"/>
    <n v="1"/>
  </r>
  <r>
    <s v="No"/>
    <s v="Non-Travel"/>
    <x v="2"/>
    <s v="Current Employees"/>
    <x v="1"/>
    <x v="2"/>
    <s v="STAFF-1046"/>
    <n v="1046"/>
    <x v="0"/>
    <x v="2"/>
    <x v="0"/>
    <s v="No"/>
    <s v="Y"/>
    <n v="2"/>
    <n v="-2"/>
    <n v="0"/>
    <n v="32"/>
    <n v="0"/>
    <m/>
    <n v="0"/>
    <n v="1"/>
    <n v="1109"/>
    <n v="29"/>
    <x v="2"/>
    <n v="1"/>
    <n v="4"/>
    <n v="69"/>
    <n v="3"/>
    <n v="1"/>
    <n v="3"/>
    <n v="4025"/>
    <n v="11135"/>
    <n v="9"/>
    <n v="12"/>
    <x v="0"/>
    <n v="2"/>
    <n v="80"/>
    <n v="0"/>
    <n v="10"/>
    <n v="3"/>
    <n v="8"/>
    <n v="7"/>
    <n v="7"/>
    <n v="7"/>
  </r>
  <r>
    <s v="No"/>
    <s v="Travel_Rarely"/>
    <x v="2"/>
    <s v="Current Employees"/>
    <x v="0"/>
    <x v="3"/>
    <s v="STAFF-1047"/>
    <n v="1047"/>
    <x v="1"/>
    <x v="0"/>
    <x v="2"/>
    <s v="No"/>
    <s v="Y"/>
    <n v="2"/>
    <n v="-2"/>
    <n v="0"/>
    <n v="34"/>
    <n v="0"/>
    <m/>
    <n v="0"/>
    <n v="1"/>
    <n v="216"/>
    <n v="1"/>
    <x v="2"/>
    <n v="1"/>
    <n v="2"/>
    <n v="75"/>
    <n v="4"/>
    <n v="2"/>
    <n v="2"/>
    <n v="9725"/>
    <n v="12278"/>
    <n v="0"/>
    <n v="11"/>
    <x v="0"/>
    <n v="4"/>
    <n v="80"/>
    <n v="1"/>
    <n v="16"/>
    <n v="2"/>
    <n v="15"/>
    <n v="1"/>
    <n v="0"/>
    <n v="9"/>
  </r>
  <r>
    <s v="No"/>
    <s v="Travel_Rarely"/>
    <x v="3"/>
    <s v="Current Employees"/>
    <x v="0"/>
    <x v="4"/>
    <s v="STAFF-1048"/>
    <n v="1048"/>
    <x v="1"/>
    <x v="5"/>
    <x v="1"/>
    <s v="Yes"/>
    <s v="Y"/>
    <n v="1"/>
    <n v="-2"/>
    <n v="0"/>
    <n v="59"/>
    <n v="0"/>
    <m/>
    <n v="0"/>
    <n v="1"/>
    <n v="1089"/>
    <n v="1"/>
    <x v="0"/>
    <n v="1"/>
    <n v="4"/>
    <n v="66"/>
    <n v="3"/>
    <n v="3"/>
    <n v="4"/>
    <n v="11904"/>
    <n v="11038"/>
    <n v="3"/>
    <n v="14"/>
    <x v="0"/>
    <n v="3"/>
    <n v="80"/>
    <n v="1"/>
    <n v="14"/>
    <n v="1"/>
    <n v="6"/>
    <n v="4"/>
    <n v="0"/>
    <n v="4"/>
  </r>
  <r>
    <s v="No"/>
    <s v="Travel_Rarely"/>
    <x v="1"/>
    <s v="Current Employees"/>
    <x v="2"/>
    <x v="2"/>
    <s v="STAFF-1049"/>
    <n v="1049"/>
    <x v="1"/>
    <x v="8"/>
    <x v="0"/>
    <s v="No"/>
    <s v="Y"/>
    <n v="3"/>
    <n v="-2"/>
    <n v="0"/>
    <n v="45"/>
    <n v="0"/>
    <m/>
    <n v="0"/>
    <n v="1"/>
    <n v="788"/>
    <n v="24"/>
    <x v="2"/>
    <n v="1"/>
    <n v="2"/>
    <n v="36"/>
    <n v="3"/>
    <n v="1"/>
    <n v="3"/>
    <n v="2177"/>
    <n v="8318"/>
    <n v="1"/>
    <n v="16"/>
    <x v="0"/>
    <n v="1"/>
    <n v="80"/>
    <n v="0"/>
    <n v="6"/>
    <n v="3"/>
    <n v="6"/>
    <n v="3"/>
    <n v="0"/>
    <n v="4"/>
  </r>
  <r>
    <s v="No"/>
    <s v="Travel_Frequently"/>
    <x v="1"/>
    <s v="Current Employees"/>
    <x v="0"/>
    <x v="3"/>
    <s v="STAFF-1050"/>
    <n v="1050"/>
    <x v="0"/>
    <x v="0"/>
    <x v="1"/>
    <s v="No"/>
    <s v="Y"/>
    <n v="2"/>
    <n v="-2"/>
    <n v="0"/>
    <n v="53"/>
    <n v="0"/>
    <m/>
    <n v="0"/>
    <n v="1"/>
    <n v="124"/>
    <n v="2"/>
    <x v="3"/>
    <n v="1"/>
    <n v="3"/>
    <n v="38"/>
    <n v="2"/>
    <n v="3"/>
    <n v="2"/>
    <n v="7525"/>
    <n v="23537"/>
    <n v="2"/>
    <n v="12"/>
    <x v="0"/>
    <n v="1"/>
    <n v="80"/>
    <n v="1"/>
    <n v="30"/>
    <n v="3"/>
    <n v="15"/>
    <n v="7"/>
    <n v="6"/>
    <n v="12"/>
  </r>
  <r>
    <s v="Yes"/>
    <s v="Travel_Rarely"/>
    <x v="0"/>
    <s v="Ex-Employees"/>
    <x v="1"/>
    <x v="1"/>
    <s v="STAFF-1052"/>
    <n v="1052"/>
    <x v="1"/>
    <x v="2"/>
    <x v="2"/>
    <s v="No"/>
    <s v="Y"/>
    <n v="3"/>
    <n v="-2"/>
    <n v="0"/>
    <n v="36"/>
    <n v="1"/>
    <n v="1"/>
    <n v="1"/>
    <n v="0"/>
    <n v="660"/>
    <n v="15"/>
    <x v="3"/>
    <n v="1"/>
    <n v="1"/>
    <n v="81"/>
    <n v="3"/>
    <n v="2"/>
    <n v="3"/>
    <n v="4834"/>
    <n v="7858"/>
    <n v="7"/>
    <n v="14"/>
    <x v="0"/>
    <n v="2"/>
    <n v="80"/>
    <n v="1"/>
    <n v="9"/>
    <n v="2"/>
    <n v="1"/>
    <n v="0"/>
    <n v="0"/>
    <n v="0"/>
  </r>
  <r>
    <s v="Yes"/>
    <s v="Travel_Frequently"/>
    <x v="2"/>
    <s v="Ex-Employees"/>
    <x v="1"/>
    <x v="0"/>
    <s v="STAFF-1053"/>
    <n v="1053"/>
    <x v="1"/>
    <x v="1"/>
    <x v="1"/>
    <s v="Yes"/>
    <s v="Y"/>
    <n v="2"/>
    <n v="-2"/>
    <n v="0"/>
    <n v="26"/>
    <n v="1"/>
    <n v="1"/>
    <n v="1"/>
    <n v="0"/>
    <n v="342"/>
    <n v="2"/>
    <x v="3"/>
    <n v="1"/>
    <n v="1"/>
    <n v="57"/>
    <n v="3"/>
    <n v="1"/>
    <n v="1"/>
    <n v="2042"/>
    <n v="15346"/>
    <n v="6"/>
    <n v="14"/>
    <x v="0"/>
    <n v="2"/>
    <n v="80"/>
    <n v="1"/>
    <n v="6"/>
    <n v="3"/>
    <n v="3"/>
    <n v="2"/>
    <n v="1"/>
    <n v="2"/>
  </r>
  <r>
    <s v="No"/>
    <s v="Travel_Rarely"/>
    <x v="2"/>
    <s v="Current Employees"/>
    <x v="0"/>
    <x v="0"/>
    <s v="STAFF-1055"/>
    <n v="1055"/>
    <x v="0"/>
    <x v="6"/>
    <x v="1"/>
    <s v="Yes"/>
    <s v="Y"/>
    <n v="2"/>
    <n v="-2"/>
    <n v="0"/>
    <n v="34"/>
    <n v="0"/>
    <m/>
    <n v="0"/>
    <n v="1"/>
    <n v="1333"/>
    <n v="10"/>
    <x v="2"/>
    <n v="1"/>
    <n v="3"/>
    <n v="87"/>
    <n v="3"/>
    <n v="1"/>
    <n v="1"/>
    <n v="2220"/>
    <n v="18410"/>
    <n v="1"/>
    <n v="19"/>
    <x v="0"/>
    <n v="4"/>
    <n v="80"/>
    <n v="1"/>
    <n v="1"/>
    <n v="3"/>
    <n v="1"/>
    <n v="1"/>
    <n v="0"/>
    <n v="0"/>
  </r>
  <r>
    <s v="No"/>
    <s v="Travel_Rarely"/>
    <x v="2"/>
    <s v="Current Employees"/>
    <x v="0"/>
    <x v="2"/>
    <s v="STAFF-1056"/>
    <n v="1056"/>
    <x v="1"/>
    <x v="6"/>
    <x v="1"/>
    <s v="No"/>
    <s v="Y"/>
    <n v="5"/>
    <n v="-2"/>
    <n v="0"/>
    <n v="28"/>
    <n v="0"/>
    <m/>
    <n v="0"/>
    <n v="1"/>
    <n v="1144"/>
    <n v="10"/>
    <x v="1"/>
    <n v="1"/>
    <n v="4"/>
    <n v="74"/>
    <n v="3"/>
    <n v="1"/>
    <n v="3"/>
    <n v="1052"/>
    <n v="23384"/>
    <n v="1"/>
    <n v="22"/>
    <x v="1"/>
    <n v="2"/>
    <n v="80"/>
    <n v="0"/>
    <n v="1"/>
    <n v="3"/>
    <n v="1"/>
    <n v="0"/>
    <n v="0"/>
    <n v="0"/>
  </r>
  <r>
    <s v="No"/>
    <s v="Travel_Frequently"/>
    <x v="0"/>
    <s v="Current Employees"/>
    <x v="1"/>
    <x v="1"/>
    <s v="STAFF-1060"/>
    <n v="1060"/>
    <x v="1"/>
    <x v="1"/>
    <x v="1"/>
    <s v="No"/>
    <s v="Y"/>
    <n v="2"/>
    <n v="-2"/>
    <n v="0"/>
    <n v="38"/>
    <n v="0"/>
    <m/>
    <n v="0"/>
    <n v="1"/>
    <n v="1186"/>
    <n v="3"/>
    <x v="2"/>
    <n v="1"/>
    <n v="3"/>
    <n v="44"/>
    <n v="3"/>
    <n v="1"/>
    <n v="3"/>
    <n v="2821"/>
    <n v="2997"/>
    <n v="3"/>
    <n v="16"/>
    <x v="0"/>
    <n v="1"/>
    <n v="80"/>
    <n v="1"/>
    <n v="8"/>
    <n v="3"/>
    <n v="2"/>
    <n v="2"/>
    <n v="2"/>
    <n v="2"/>
  </r>
  <r>
    <s v="No"/>
    <s v="Travel_Rarely"/>
    <x v="1"/>
    <s v="Current Employees"/>
    <x v="1"/>
    <x v="2"/>
    <s v="STAFF-1061"/>
    <n v="1061"/>
    <x v="1"/>
    <x v="7"/>
    <x v="1"/>
    <s v="Yes"/>
    <s v="Y"/>
    <n v="2"/>
    <n v="-2"/>
    <n v="0"/>
    <n v="50"/>
    <n v="0"/>
    <m/>
    <n v="0"/>
    <n v="1"/>
    <n v="1464"/>
    <n v="2"/>
    <x v="2"/>
    <n v="1"/>
    <n v="2"/>
    <n v="62"/>
    <n v="3"/>
    <n v="5"/>
    <n v="3"/>
    <n v="19237"/>
    <n v="12853"/>
    <n v="2"/>
    <n v="11"/>
    <x v="0"/>
    <n v="4"/>
    <n v="80"/>
    <n v="1"/>
    <n v="29"/>
    <n v="2"/>
    <n v="8"/>
    <n v="1"/>
    <n v="7"/>
    <n v="7"/>
  </r>
  <r>
    <s v="No"/>
    <s v="Travel_Rarely"/>
    <x v="0"/>
    <s v="Current Employees"/>
    <x v="1"/>
    <x v="1"/>
    <s v="STAFF-1062"/>
    <n v="1062"/>
    <x v="0"/>
    <x v="4"/>
    <x v="0"/>
    <s v="No"/>
    <s v="Y"/>
    <n v="3"/>
    <n v="-2"/>
    <n v="0"/>
    <n v="37"/>
    <n v="0"/>
    <m/>
    <n v="0"/>
    <n v="1"/>
    <n v="124"/>
    <n v="3"/>
    <x v="3"/>
    <n v="1"/>
    <n v="4"/>
    <n v="35"/>
    <n v="3"/>
    <n v="2"/>
    <n v="3"/>
    <n v="4107"/>
    <n v="13848"/>
    <n v="3"/>
    <n v="15"/>
    <x v="0"/>
    <n v="1"/>
    <n v="80"/>
    <n v="0"/>
    <n v="8"/>
    <n v="2"/>
    <n v="4"/>
    <n v="3"/>
    <n v="0"/>
    <n v="1"/>
  </r>
  <r>
    <s v="No"/>
    <s v="Travel_Rarely"/>
    <x v="0"/>
    <s v="Current Employees"/>
    <x v="0"/>
    <x v="3"/>
    <s v="STAFF-1066"/>
    <n v="1066"/>
    <x v="1"/>
    <x v="0"/>
    <x v="1"/>
    <s v="No"/>
    <s v="Y"/>
    <n v="3"/>
    <n v="-2"/>
    <n v="0"/>
    <n v="40"/>
    <n v="0"/>
    <m/>
    <n v="0"/>
    <n v="1"/>
    <n v="300"/>
    <n v="26"/>
    <x v="3"/>
    <n v="1"/>
    <n v="3"/>
    <n v="74"/>
    <n v="3"/>
    <n v="2"/>
    <n v="2"/>
    <n v="8396"/>
    <n v="22217"/>
    <n v="1"/>
    <n v="14"/>
    <x v="0"/>
    <n v="2"/>
    <n v="80"/>
    <n v="1"/>
    <n v="8"/>
    <n v="2"/>
    <n v="7"/>
    <n v="7"/>
    <n v="7"/>
    <n v="5"/>
  </r>
  <r>
    <s v="No"/>
    <s v="Travel_Frequently"/>
    <x v="2"/>
    <s v="Current Employees"/>
    <x v="1"/>
    <x v="2"/>
    <s v="STAFF-1068"/>
    <n v="1068"/>
    <x v="0"/>
    <x v="1"/>
    <x v="2"/>
    <s v="No"/>
    <s v="Y"/>
    <n v="5"/>
    <n v="-2"/>
    <n v="0"/>
    <n v="26"/>
    <n v="0"/>
    <m/>
    <n v="0"/>
    <n v="1"/>
    <n v="921"/>
    <n v="1"/>
    <x v="1"/>
    <n v="1"/>
    <n v="1"/>
    <n v="66"/>
    <n v="2"/>
    <n v="1"/>
    <n v="3"/>
    <n v="2007"/>
    <n v="25265"/>
    <n v="1"/>
    <n v="13"/>
    <x v="0"/>
    <n v="3"/>
    <n v="80"/>
    <n v="2"/>
    <n v="5"/>
    <n v="3"/>
    <n v="5"/>
    <n v="3"/>
    <n v="1"/>
    <n v="3"/>
  </r>
  <r>
    <s v="No"/>
    <s v="Travel_Rarely"/>
    <x v="1"/>
    <s v="Current Employees"/>
    <x v="1"/>
    <x v="2"/>
    <s v="STAFF-1069"/>
    <n v="1069"/>
    <x v="1"/>
    <x v="7"/>
    <x v="2"/>
    <s v="No"/>
    <s v="Y"/>
    <n v="0"/>
    <n v="-2"/>
    <n v="0"/>
    <n v="46"/>
    <n v="0"/>
    <m/>
    <n v="0"/>
    <n v="1"/>
    <n v="430"/>
    <n v="1"/>
    <x v="2"/>
    <n v="1"/>
    <n v="4"/>
    <n v="40"/>
    <n v="3"/>
    <n v="5"/>
    <n v="4"/>
    <n v="19627"/>
    <n v="21445"/>
    <n v="9"/>
    <n v="17"/>
    <x v="0"/>
    <n v="4"/>
    <n v="80"/>
    <n v="2"/>
    <n v="23"/>
    <n v="3"/>
    <n v="2"/>
    <n v="2"/>
    <n v="2"/>
    <n v="2"/>
  </r>
  <r>
    <s v="No"/>
    <s v="Travel_Rarely"/>
    <x v="1"/>
    <s v="Current Employees"/>
    <x v="0"/>
    <x v="0"/>
    <s v="STAFF-1070"/>
    <n v="1070"/>
    <x v="0"/>
    <x v="0"/>
    <x v="1"/>
    <s v="No"/>
    <s v="Y"/>
    <n v="4"/>
    <n v="-2"/>
    <n v="0"/>
    <n v="54"/>
    <n v="0"/>
    <m/>
    <n v="0"/>
    <n v="1"/>
    <n v="1082"/>
    <n v="2"/>
    <x v="2"/>
    <n v="1"/>
    <n v="3"/>
    <n v="41"/>
    <n v="2"/>
    <n v="3"/>
    <n v="1"/>
    <n v="10686"/>
    <n v="8392"/>
    <n v="6"/>
    <n v="11"/>
    <x v="0"/>
    <n v="2"/>
    <n v="80"/>
    <n v="1"/>
    <n v="13"/>
    <n v="3"/>
    <n v="9"/>
    <n v="4"/>
    <n v="7"/>
    <n v="0"/>
  </r>
  <r>
    <s v="No"/>
    <s v="Travel_Frequently"/>
    <x v="3"/>
    <s v="Current Employees"/>
    <x v="1"/>
    <x v="2"/>
    <s v="STAFF-1071"/>
    <n v="1071"/>
    <x v="0"/>
    <x v="1"/>
    <x v="1"/>
    <s v="No"/>
    <s v="Y"/>
    <n v="4"/>
    <n v="-2"/>
    <n v="0"/>
    <n v="56"/>
    <n v="0"/>
    <m/>
    <n v="0"/>
    <n v="1"/>
    <n v="1240"/>
    <n v="9"/>
    <x v="3"/>
    <n v="1"/>
    <n v="1"/>
    <n v="63"/>
    <n v="3"/>
    <n v="1"/>
    <n v="3"/>
    <n v="2942"/>
    <n v="12154"/>
    <n v="2"/>
    <n v="19"/>
    <x v="0"/>
    <n v="2"/>
    <n v="80"/>
    <n v="1"/>
    <n v="18"/>
    <n v="3"/>
    <n v="5"/>
    <n v="4"/>
    <n v="0"/>
    <n v="3"/>
  </r>
  <r>
    <s v="No"/>
    <s v="Travel_Rarely"/>
    <x v="0"/>
    <s v="Current Employees"/>
    <x v="1"/>
    <x v="2"/>
    <s v="STAFF-1073"/>
    <n v="1073"/>
    <x v="0"/>
    <x v="3"/>
    <x v="0"/>
    <s v="No"/>
    <s v="Y"/>
    <n v="2"/>
    <n v="-2"/>
    <n v="0"/>
    <n v="36"/>
    <n v="0"/>
    <m/>
    <n v="0"/>
    <n v="1"/>
    <n v="796"/>
    <n v="12"/>
    <x v="4"/>
    <n v="1"/>
    <n v="4"/>
    <n v="51"/>
    <n v="2"/>
    <n v="3"/>
    <n v="4"/>
    <n v="8858"/>
    <n v="15669"/>
    <n v="0"/>
    <n v="11"/>
    <x v="0"/>
    <n v="2"/>
    <n v="80"/>
    <n v="0"/>
    <n v="15"/>
    <n v="2"/>
    <n v="14"/>
    <n v="8"/>
    <n v="7"/>
    <n v="8"/>
  </r>
  <r>
    <s v="No"/>
    <s v="Non-Travel"/>
    <x v="3"/>
    <s v="Current Employees"/>
    <x v="1"/>
    <x v="2"/>
    <s v="STAFF-1074"/>
    <n v="1074"/>
    <x v="1"/>
    <x v="5"/>
    <x v="0"/>
    <s v="No"/>
    <s v="Y"/>
    <n v="3"/>
    <n v="-2"/>
    <n v="0"/>
    <n v="55"/>
    <n v="0"/>
    <m/>
    <n v="0"/>
    <n v="1"/>
    <n v="444"/>
    <n v="2"/>
    <x v="1"/>
    <n v="1"/>
    <n v="3"/>
    <n v="40"/>
    <n v="2"/>
    <n v="4"/>
    <n v="3"/>
    <n v="16756"/>
    <n v="17323"/>
    <n v="7"/>
    <n v="15"/>
    <x v="0"/>
    <n v="2"/>
    <n v="80"/>
    <n v="0"/>
    <n v="31"/>
    <n v="4"/>
    <n v="9"/>
    <n v="7"/>
    <n v="6"/>
    <n v="2"/>
  </r>
  <r>
    <s v="No"/>
    <s v="Travel_Rarely"/>
    <x v="0"/>
    <s v="Current Employees"/>
    <x v="0"/>
    <x v="2"/>
    <s v="STAFF-1076"/>
    <n v="1076"/>
    <x v="1"/>
    <x v="0"/>
    <x v="2"/>
    <s v="No"/>
    <s v="Y"/>
    <n v="5"/>
    <n v="-2"/>
    <n v="0"/>
    <n v="43"/>
    <n v="0"/>
    <m/>
    <n v="0"/>
    <n v="1"/>
    <n v="415"/>
    <n v="25"/>
    <x v="3"/>
    <n v="1"/>
    <n v="3"/>
    <n v="79"/>
    <n v="2"/>
    <n v="3"/>
    <n v="4"/>
    <n v="10798"/>
    <n v="5268"/>
    <n v="5"/>
    <n v="13"/>
    <x v="0"/>
    <n v="3"/>
    <n v="80"/>
    <n v="1"/>
    <n v="18"/>
    <n v="3"/>
    <n v="1"/>
    <n v="0"/>
    <n v="0"/>
    <n v="0"/>
  </r>
  <r>
    <s v="Yes"/>
    <s v="Travel_Frequently"/>
    <x v="4"/>
    <s v="Ex-Employees"/>
    <x v="0"/>
    <x v="3"/>
    <s v="STAFF-1077"/>
    <n v="1077"/>
    <x v="0"/>
    <x v="6"/>
    <x v="0"/>
    <s v="Yes"/>
    <s v="Y"/>
    <n v="3"/>
    <n v="-2"/>
    <n v="0"/>
    <n v="20"/>
    <n v="1"/>
    <n v="1"/>
    <n v="1"/>
    <n v="0"/>
    <n v="769"/>
    <n v="9"/>
    <x v="3"/>
    <n v="1"/>
    <n v="4"/>
    <n v="54"/>
    <n v="3"/>
    <n v="1"/>
    <n v="2"/>
    <n v="2323"/>
    <n v="17205"/>
    <n v="1"/>
    <n v="14"/>
    <x v="0"/>
    <n v="2"/>
    <n v="80"/>
    <n v="0"/>
    <n v="2"/>
    <n v="3"/>
    <n v="2"/>
    <n v="2"/>
    <n v="0"/>
    <n v="2"/>
  </r>
  <r>
    <s v="Yes"/>
    <s v="Travel_Rarely"/>
    <x v="4"/>
    <s v="Ex-Employees"/>
    <x v="1"/>
    <x v="0"/>
    <s v="STAFF-1079"/>
    <n v="1079"/>
    <x v="0"/>
    <x v="2"/>
    <x v="0"/>
    <s v="No"/>
    <s v="Y"/>
    <n v="6"/>
    <n v="-2"/>
    <n v="0"/>
    <n v="21"/>
    <n v="1"/>
    <n v="1"/>
    <n v="1"/>
    <n v="0"/>
    <n v="1334"/>
    <n v="10"/>
    <x v="3"/>
    <n v="1"/>
    <n v="3"/>
    <n v="36"/>
    <n v="2"/>
    <n v="1"/>
    <n v="1"/>
    <n v="1416"/>
    <n v="17258"/>
    <n v="1"/>
    <n v="13"/>
    <x v="0"/>
    <n v="1"/>
    <n v="80"/>
    <n v="0"/>
    <n v="1"/>
    <n v="2"/>
    <n v="1"/>
    <n v="0"/>
    <n v="1"/>
    <n v="0"/>
  </r>
  <r>
    <s v="No"/>
    <s v="Travel_Rarely"/>
    <x v="1"/>
    <s v="Current Employees"/>
    <x v="1"/>
    <x v="0"/>
    <s v="STAFF-1080"/>
    <n v="1080"/>
    <x v="0"/>
    <x v="1"/>
    <x v="2"/>
    <s v="Yes"/>
    <s v="Y"/>
    <n v="2"/>
    <n v="-2"/>
    <n v="0"/>
    <n v="46"/>
    <n v="0"/>
    <m/>
    <n v="0"/>
    <n v="1"/>
    <n v="1003"/>
    <n v="8"/>
    <x v="2"/>
    <n v="1"/>
    <n v="4"/>
    <n v="74"/>
    <n v="2"/>
    <n v="2"/>
    <n v="1"/>
    <n v="4615"/>
    <n v="21029"/>
    <n v="8"/>
    <n v="23"/>
    <x v="1"/>
    <n v="1"/>
    <n v="80"/>
    <n v="3"/>
    <n v="19"/>
    <n v="3"/>
    <n v="16"/>
    <n v="13"/>
    <n v="1"/>
    <n v="7"/>
  </r>
  <r>
    <s v="Yes"/>
    <s v="Travel_Rarely"/>
    <x v="1"/>
    <s v="Ex-Employees"/>
    <x v="1"/>
    <x v="0"/>
    <s v="STAFF-1081"/>
    <n v="1081"/>
    <x v="1"/>
    <x v="1"/>
    <x v="1"/>
    <s v="Yes"/>
    <s v="Y"/>
    <n v="2"/>
    <n v="-2"/>
    <n v="0"/>
    <n v="51"/>
    <n v="1"/>
    <n v="1"/>
    <n v="1"/>
    <n v="0"/>
    <n v="1323"/>
    <n v="4"/>
    <x v="2"/>
    <n v="1"/>
    <n v="1"/>
    <n v="34"/>
    <n v="3"/>
    <n v="1"/>
    <n v="1"/>
    <n v="2461"/>
    <n v="10332"/>
    <n v="9"/>
    <n v="12"/>
    <x v="0"/>
    <n v="3"/>
    <n v="80"/>
    <n v="3"/>
    <n v="18"/>
    <n v="4"/>
    <n v="10"/>
    <n v="0"/>
    <n v="2"/>
    <n v="7"/>
  </r>
  <r>
    <s v="Yes"/>
    <s v="Non-Travel"/>
    <x v="2"/>
    <s v="Ex-Employees"/>
    <x v="1"/>
    <x v="4"/>
    <s v="STAFF-1082"/>
    <n v="1082"/>
    <x v="1"/>
    <x v="4"/>
    <x v="0"/>
    <s v="No"/>
    <s v="Y"/>
    <n v="2"/>
    <n v="-2"/>
    <n v="0"/>
    <n v="28"/>
    <n v="1"/>
    <n v="1"/>
    <n v="1"/>
    <n v="0"/>
    <n v="1366"/>
    <n v="24"/>
    <x v="0"/>
    <n v="1"/>
    <n v="4"/>
    <n v="72"/>
    <n v="2"/>
    <n v="3"/>
    <n v="4"/>
    <n v="8722"/>
    <n v="12355"/>
    <n v="1"/>
    <n v="12"/>
    <x v="0"/>
    <n v="1"/>
    <n v="80"/>
    <n v="0"/>
    <n v="10"/>
    <n v="2"/>
    <n v="10"/>
    <n v="7"/>
    <n v="1"/>
    <n v="9"/>
  </r>
  <r>
    <s v="No"/>
    <s v="Travel_Rarely"/>
    <x v="2"/>
    <s v="Current Employees"/>
    <x v="1"/>
    <x v="2"/>
    <s v="STAFF-1083"/>
    <n v="1083"/>
    <x v="1"/>
    <x v="2"/>
    <x v="1"/>
    <s v="No"/>
    <s v="Y"/>
    <n v="2"/>
    <n v="-2"/>
    <n v="0"/>
    <n v="26"/>
    <n v="0"/>
    <m/>
    <n v="0"/>
    <n v="1"/>
    <n v="192"/>
    <n v="1"/>
    <x v="0"/>
    <n v="1"/>
    <n v="1"/>
    <n v="59"/>
    <n v="2"/>
    <n v="1"/>
    <n v="3"/>
    <n v="3955"/>
    <n v="11141"/>
    <n v="1"/>
    <n v="16"/>
    <x v="0"/>
    <n v="1"/>
    <n v="80"/>
    <n v="2"/>
    <n v="6"/>
    <n v="3"/>
    <n v="5"/>
    <n v="3"/>
    <n v="1"/>
    <n v="3"/>
  </r>
  <r>
    <s v="No"/>
    <s v="Travel_Rarely"/>
    <x v="2"/>
    <s v="Current Employees"/>
    <x v="1"/>
    <x v="1"/>
    <s v="STAFF-1084"/>
    <n v="1084"/>
    <x v="1"/>
    <x v="3"/>
    <x v="1"/>
    <s v="No"/>
    <s v="Y"/>
    <n v="1"/>
    <n v="-2"/>
    <n v="0"/>
    <n v="30"/>
    <n v="0"/>
    <m/>
    <n v="0"/>
    <n v="1"/>
    <n v="1176"/>
    <n v="20"/>
    <x v="3"/>
    <n v="1"/>
    <n v="3"/>
    <n v="85"/>
    <n v="3"/>
    <n v="2"/>
    <n v="3"/>
    <n v="9957"/>
    <n v="9096"/>
    <n v="0"/>
    <n v="15"/>
    <x v="0"/>
    <n v="3"/>
    <n v="80"/>
    <n v="1"/>
    <n v="7"/>
    <n v="2"/>
    <n v="6"/>
    <n v="2"/>
    <n v="0"/>
    <n v="2"/>
  </r>
  <r>
    <s v="No"/>
    <s v="Travel_Rarely"/>
    <x v="0"/>
    <s v="Current Employees"/>
    <x v="1"/>
    <x v="4"/>
    <s v="STAFF-1085"/>
    <n v="1085"/>
    <x v="0"/>
    <x v="1"/>
    <x v="1"/>
    <s v="No"/>
    <s v="Y"/>
    <n v="3"/>
    <n v="-2"/>
    <n v="0"/>
    <n v="41"/>
    <n v="0"/>
    <m/>
    <n v="0"/>
    <n v="1"/>
    <n v="509"/>
    <n v="7"/>
    <x v="0"/>
    <n v="1"/>
    <n v="4"/>
    <n v="43"/>
    <n v="4"/>
    <n v="1"/>
    <n v="4"/>
    <n v="3376"/>
    <n v="18863"/>
    <n v="1"/>
    <n v="13"/>
    <x v="0"/>
    <n v="3"/>
    <n v="80"/>
    <n v="0"/>
    <n v="10"/>
    <n v="3"/>
    <n v="10"/>
    <n v="6"/>
    <n v="0"/>
    <n v="8"/>
  </r>
  <r>
    <s v="No"/>
    <s v="Travel_Rarely"/>
    <x v="0"/>
    <s v="Current Employees"/>
    <x v="1"/>
    <x v="0"/>
    <s v="STAFF-1088"/>
    <n v="1088"/>
    <x v="0"/>
    <x v="4"/>
    <x v="1"/>
    <s v="No"/>
    <s v="Y"/>
    <n v="4"/>
    <n v="-2"/>
    <n v="0"/>
    <n v="38"/>
    <n v="0"/>
    <m/>
    <n v="0"/>
    <n v="1"/>
    <n v="330"/>
    <n v="17"/>
    <x v="1"/>
    <n v="1"/>
    <n v="3"/>
    <n v="65"/>
    <n v="2"/>
    <n v="3"/>
    <n v="1"/>
    <n v="8823"/>
    <n v="24608"/>
    <n v="0"/>
    <n v="18"/>
    <x v="0"/>
    <n v="1"/>
    <n v="80"/>
    <n v="1"/>
    <n v="20"/>
    <n v="2"/>
    <n v="19"/>
    <n v="9"/>
    <n v="1"/>
    <n v="9"/>
  </r>
  <r>
    <s v="No"/>
    <s v="Travel_Rarely"/>
    <x v="0"/>
    <s v="Current Employees"/>
    <x v="1"/>
    <x v="4"/>
    <s v="STAFF-1092"/>
    <n v="1092"/>
    <x v="1"/>
    <x v="4"/>
    <x v="1"/>
    <s v="No"/>
    <s v="Y"/>
    <n v="6"/>
    <n v="-2"/>
    <n v="0"/>
    <n v="40"/>
    <n v="0"/>
    <m/>
    <n v="0"/>
    <n v="1"/>
    <n v="1492"/>
    <n v="20"/>
    <x v="2"/>
    <n v="1"/>
    <n v="4"/>
    <n v="61"/>
    <n v="3"/>
    <n v="3"/>
    <n v="4"/>
    <n v="10322"/>
    <n v="26542"/>
    <n v="4"/>
    <n v="20"/>
    <x v="1"/>
    <n v="4"/>
    <n v="80"/>
    <n v="1"/>
    <n v="14"/>
    <n v="3"/>
    <n v="11"/>
    <n v="10"/>
    <n v="11"/>
    <n v="1"/>
  </r>
  <r>
    <s v="No"/>
    <s v="Non-Travel"/>
    <x v="2"/>
    <s v="Current Employees"/>
    <x v="1"/>
    <x v="0"/>
    <s v="STAFF-1094"/>
    <n v="1094"/>
    <x v="1"/>
    <x v="2"/>
    <x v="1"/>
    <s v="No"/>
    <s v="Y"/>
    <n v="4"/>
    <n v="-2"/>
    <n v="0"/>
    <n v="27"/>
    <n v="0"/>
    <m/>
    <n v="0"/>
    <n v="1"/>
    <n v="1277"/>
    <n v="8"/>
    <x v="4"/>
    <n v="1"/>
    <n v="1"/>
    <n v="87"/>
    <n v="1"/>
    <n v="1"/>
    <n v="1"/>
    <n v="4621"/>
    <n v="5869"/>
    <n v="1"/>
    <n v="19"/>
    <x v="0"/>
    <n v="4"/>
    <n v="80"/>
    <n v="3"/>
    <n v="3"/>
    <n v="3"/>
    <n v="3"/>
    <n v="2"/>
    <n v="1"/>
    <n v="2"/>
  </r>
  <r>
    <s v="No"/>
    <s v="Travel_Frequently"/>
    <x v="3"/>
    <s v="Current Employees"/>
    <x v="1"/>
    <x v="0"/>
    <s v="STAFF-1096"/>
    <n v="1096"/>
    <x v="1"/>
    <x v="3"/>
    <x v="1"/>
    <s v="No"/>
    <s v="Y"/>
    <n v="4"/>
    <n v="-2"/>
    <n v="0"/>
    <n v="55"/>
    <n v="0"/>
    <m/>
    <n v="0"/>
    <n v="1"/>
    <n v="1091"/>
    <n v="2"/>
    <x v="1"/>
    <n v="1"/>
    <n v="4"/>
    <n v="65"/>
    <n v="3"/>
    <n v="3"/>
    <n v="1"/>
    <n v="10976"/>
    <n v="15813"/>
    <n v="3"/>
    <n v="18"/>
    <x v="0"/>
    <n v="2"/>
    <n v="80"/>
    <n v="1"/>
    <n v="23"/>
    <n v="3"/>
    <n v="3"/>
    <n v="2"/>
    <n v="1"/>
    <n v="2"/>
  </r>
  <r>
    <s v="No"/>
    <s v="Travel_Rarely"/>
    <x v="2"/>
    <s v="Current Employees"/>
    <x v="1"/>
    <x v="1"/>
    <s v="STAFF-1097"/>
    <n v="1097"/>
    <x v="0"/>
    <x v="1"/>
    <x v="0"/>
    <s v="No"/>
    <s v="Y"/>
    <n v="4"/>
    <n v="-2"/>
    <n v="0"/>
    <n v="28"/>
    <n v="0"/>
    <m/>
    <n v="0"/>
    <n v="1"/>
    <n v="857"/>
    <n v="10"/>
    <x v="3"/>
    <n v="1"/>
    <n v="3"/>
    <n v="59"/>
    <n v="3"/>
    <n v="2"/>
    <n v="3"/>
    <n v="3660"/>
    <n v="7909"/>
    <n v="3"/>
    <n v="13"/>
    <x v="0"/>
    <n v="4"/>
    <n v="80"/>
    <n v="0"/>
    <n v="10"/>
    <n v="4"/>
    <n v="8"/>
    <n v="7"/>
    <n v="1"/>
    <n v="7"/>
  </r>
  <r>
    <s v="Yes"/>
    <s v="Travel_Rarely"/>
    <x v="0"/>
    <s v="Ex-Employees"/>
    <x v="2"/>
    <x v="2"/>
    <s v="STAFF-1098"/>
    <n v="1098"/>
    <x v="1"/>
    <x v="8"/>
    <x v="1"/>
    <s v="No"/>
    <s v="Y"/>
    <n v="1"/>
    <n v="-2"/>
    <n v="0"/>
    <n v="44"/>
    <n v="1"/>
    <n v="1"/>
    <n v="1"/>
    <n v="0"/>
    <n v="1376"/>
    <n v="1"/>
    <x v="0"/>
    <n v="1"/>
    <n v="2"/>
    <n v="91"/>
    <n v="2"/>
    <n v="3"/>
    <n v="3"/>
    <n v="10482"/>
    <n v="2326"/>
    <n v="9"/>
    <n v="14"/>
    <x v="0"/>
    <n v="4"/>
    <n v="80"/>
    <n v="1"/>
    <n v="24"/>
    <n v="3"/>
    <n v="20"/>
    <n v="6"/>
    <n v="3"/>
    <n v="6"/>
  </r>
  <r>
    <s v="No"/>
    <s v="Travel_Rarely"/>
    <x v="2"/>
    <s v="Current Employees"/>
    <x v="1"/>
    <x v="0"/>
    <s v="STAFF-1099"/>
    <n v="1099"/>
    <x v="1"/>
    <x v="4"/>
    <x v="2"/>
    <s v="No"/>
    <s v="Y"/>
    <n v="2"/>
    <n v="-2"/>
    <n v="0"/>
    <n v="33"/>
    <n v="0"/>
    <m/>
    <n v="0"/>
    <n v="1"/>
    <n v="654"/>
    <n v="5"/>
    <x v="3"/>
    <n v="1"/>
    <n v="4"/>
    <n v="34"/>
    <n v="2"/>
    <n v="3"/>
    <n v="1"/>
    <n v="7119"/>
    <n v="21214"/>
    <n v="4"/>
    <n v="15"/>
    <x v="0"/>
    <n v="3"/>
    <n v="80"/>
    <n v="1"/>
    <n v="9"/>
    <n v="3"/>
    <n v="3"/>
    <n v="2"/>
    <n v="1"/>
    <n v="2"/>
  </r>
  <r>
    <s v="Yes"/>
    <s v="Travel_Rarely"/>
    <x v="0"/>
    <s v="Ex-Employees"/>
    <x v="0"/>
    <x v="4"/>
    <s v="STAFF-1100"/>
    <n v="1100"/>
    <x v="1"/>
    <x v="0"/>
    <x v="0"/>
    <s v="Yes"/>
    <s v="Y"/>
    <n v="2"/>
    <n v="-2"/>
    <n v="0"/>
    <n v="35"/>
    <n v="1"/>
    <n v="1"/>
    <n v="1"/>
    <n v="0"/>
    <n v="1204"/>
    <n v="4"/>
    <x v="3"/>
    <n v="1"/>
    <n v="4"/>
    <n v="86"/>
    <n v="3"/>
    <n v="3"/>
    <n v="4"/>
    <n v="9582"/>
    <n v="10333"/>
    <n v="0"/>
    <n v="22"/>
    <x v="1"/>
    <n v="1"/>
    <n v="80"/>
    <n v="0"/>
    <n v="9"/>
    <n v="3"/>
    <n v="8"/>
    <n v="7"/>
    <n v="4"/>
    <n v="7"/>
  </r>
  <r>
    <s v="Yes"/>
    <s v="Travel_Frequently"/>
    <x v="2"/>
    <s v="Ex-Employees"/>
    <x v="1"/>
    <x v="2"/>
    <s v="STAFF-1101"/>
    <n v="1101"/>
    <x v="0"/>
    <x v="1"/>
    <x v="0"/>
    <s v="No"/>
    <s v="Y"/>
    <n v="4"/>
    <n v="-2"/>
    <n v="0"/>
    <n v="33"/>
    <n v="1"/>
    <n v="1"/>
    <n v="1"/>
    <n v="0"/>
    <n v="827"/>
    <n v="29"/>
    <x v="2"/>
    <n v="1"/>
    <n v="1"/>
    <n v="54"/>
    <n v="2"/>
    <n v="2"/>
    <n v="3"/>
    <n v="4508"/>
    <n v="3129"/>
    <n v="1"/>
    <n v="22"/>
    <x v="1"/>
    <n v="2"/>
    <n v="80"/>
    <n v="0"/>
    <n v="14"/>
    <n v="3"/>
    <n v="13"/>
    <n v="7"/>
    <n v="3"/>
    <n v="8"/>
  </r>
  <r>
    <s v="No"/>
    <s v="Travel_Rarely"/>
    <x v="2"/>
    <s v="Current Employees"/>
    <x v="1"/>
    <x v="0"/>
    <s v="STAFF-1102"/>
    <n v="1102"/>
    <x v="1"/>
    <x v="2"/>
    <x v="2"/>
    <s v="No"/>
    <s v="Y"/>
    <n v="5"/>
    <n v="-2"/>
    <n v="0"/>
    <n v="28"/>
    <n v="0"/>
    <m/>
    <n v="0"/>
    <n v="1"/>
    <n v="895"/>
    <n v="15"/>
    <x v="0"/>
    <n v="1"/>
    <n v="1"/>
    <n v="50"/>
    <n v="3"/>
    <n v="1"/>
    <n v="1"/>
    <n v="2207"/>
    <n v="22482"/>
    <n v="1"/>
    <n v="16"/>
    <x v="0"/>
    <n v="4"/>
    <n v="80"/>
    <n v="1"/>
    <n v="4"/>
    <n v="2"/>
    <n v="4"/>
    <n v="2"/>
    <n v="2"/>
    <n v="2"/>
  </r>
  <r>
    <s v="No"/>
    <s v="Travel_Frequently"/>
    <x v="2"/>
    <s v="Current Employees"/>
    <x v="1"/>
    <x v="0"/>
    <s v="STAFF-1103"/>
    <n v="1103"/>
    <x v="1"/>
    <x v="4"/>
    <x v="0"/>
    <s v="No"/>
    <s v="Y"/>
    <n v="1"/>
    <n v="-2"/>
    <n v="0"/>
    <n v="34"/>
    <n v="0"/>
    <m/>
    <n v="0"/>
    <n v="1"/>
    <n v="618"/>
    <n v="3"/>
    <x v="1"/>
    <n v="1"/>
    <n v="1"/>
    <n v="45"/>
    <n v="3"/>
    <n v="2"/>
    <n v="1"/>
    <n v="7756"/>
    <n v="22266"/>
    <n v="0"/>
    <n v="17"/>
    <x v="0"/>
    <n v="3"/>
    <n v="80"/>
    <n v="0"/>
    <n v="7"/>
    <n v="2"/>
    <n v="6"/>
    <n v="2"/>
    <n v="0"/>
    <n v="4"/>
  </r>
  <r>
    <s v="No"/>
    <s v="Travel_Rarely"/>
    <x v="0"/>
    <s v="Current Employees"/>
    <x v="0"/>
    <x v="0"/>
    <s v="STAFF-1105"/>
    <n v="1105"/>
    <x v="0"/>
    <x v="0"/>
    <x v="2"/>
    <s v="Yes"/>
    <s v="Y"/>
    <n v="5"/>
    <n v="-2"/>
    <n v="0"/>
    <n v="37"/>
    <n v="0"/>
    <m/>
    <n v="0"/>
    <n v="1"/>
    <n v="309"/>
    <n v="10"/>
    <x v="2"/>
    <n v="1"/>
    <n v="4"/>
    <n v="88"/>
    <n v="2"/>
    <n v="2"/>
    <n v="1"/>
    <n v="6694"/>
    <n v="24223"/>
    <n v="2"/>
    <n v="14"/>
    <x v="0"/>
    <n v="3"/>
    <n v="80"/>
    <n v="3"/>
    <n v="8"/>
    <n v="3"/>
    <n v="1"/>
    <n v="0"/>
    <n v="0"/>
    <n v="0"/>
  </r>
  <r>
    <s v="Yes"/>
    <s v="Travel_Rarely"/>
    <x v="2"/>
    <s v="Ex-Employees"/>
    <x v="1"/>
    <x v="4"/>
    <s v="STAFF-1106"/>
    <n v="1106"/>
    <x v="1"/>
    <x v="2"/>
    <x v="1"/>
    <s v="Yes"/>
    <s v="Y"/>
    <n v="3"/>
    <n v="-2"/>
    <n v="0"/>
    <n v="25"/>
    <n v="1"/>
    <n v="1"/>
    <n v="1"/>
    <n v="0"/>
    <n v="1219"/>
    <n v="4"/>
    <x v="1"/>
    <n v="1"/>
    <n v="4"/>
    <n v="32"/>
    <n v="3"/>
    <n v="1"/>
    <n v="4"/>
    <n v="3691"/>
    <n v="4605"/>
    <n v="1"/>
    <n v="15"/>
    <x v="0"/>
    <n v="2"/>
    <n v="80"/>
    <n v="1"/>
    <n v="7"/>
    <n v="4"/>
    <n v="7"/>
    <n v="7"/>
    <n v="5"/>
    <n v="6"/>
  </r>
  <r>
    <s v="Yes"/>
    <s v="Travel_Rarely"/>
    <x v="2"/>
    <s v="Ex-Employees"/>
    <x v="1"/>
    <x v="2"/>
    <s v="STAFF-1107"/>
    <n v="1107"/>
    <x v="1"/>
    <x v="2"/>
    <x v="2"/>
    <s v="No"/>
    <s v="Y"/>
    <n v="0"/>
    <n v="-2"/>
    <n v="0"/>
    <n v="26"/>
    <n v="1"/>
    <n v="1"/>
    <n v="1"/>
    <n v="0"/>
    <n v="1330"/>
    <n v="21"/>
    <x v="3"/>
    <n v="1"/>
    <n v="1"/>
    <n v="37"/>
    <n v="3"/>
    <n v="1"/>
    <n v="3"/>
    <n v="2377"/>
    <n v="19373"/>
    <n v="1"/>
    <n v="20"/>
    <x v="1"/>
    <n v="3"/>
    <n v="80"/>
    <n v="1"/>
    <n v="1"/>
    <n v="2"/>
    <n v="1"/>
    <n v="1"/>
    <n v="0"/>
    <n v="0"/>
  </r>
  <r>
    <s v="Yes"/>
    <s v="Travel_Rarely"/>
    <x v="2"/>
    <s v="Ex-Employees"/>
    <x v="1"/>
    <x v="2"/>
    <s v="STAFF-1108"/>
    <n v="1108"/>
    <x v="1"/>
    <x v="1"/>
    <x v="0"/>
    <s v="Yes"/>
    <s v="Y"/>
    <n v="0"/>
    <n v="-2"/>
    <n v="0"/>
    <n v="33"/>
    <n v="1"/>
    <n v="1"/>
    <n v="1"/>
    <n v="0"/>
    <n v="1017"/>
    <n v="25"/>
    <x v="3"/>
    <n v="1"/>
    <n v="1"/>
    <n v="55"/>
    <n v="2"/>
    <n v="1"/>
    <n v="3"/>
    <n v="2313"/>
    <n v="2993"/>
    <n v="4"/>
    <n v="20"/>
    <x v="1"/>
    <n v="2"/>
    <n v="80"/>
    <n v="0"/>
    <n v="5"/>
    <n v="3"/>
    <n v="2"/>
    <n v="2"/>
    <n v="2"/>
    <n v="2"/>
  </r>
  <r>
    <s v="No"/>
    <s v="Travel_Rarely"/>
    <x v="0"/>
    <s v="Current Employees"/>
    <x v="1"/>
    <x v="2"/>
    <s v="STAFF-1109"/>
    <n v="1109"/>
    <x v="1"/>
    <x v="5"/>
    <x v="1"/>
    <s v="No"/>
    <s v="Y"/>
    <n v="3"/>
    <n v="-2"/>
    <n v="0"/>
    <n v="42"/>
    <n v="0"/>
    <m/>
    <n v="0"/>
    <n v="1"/>
    <n v="469"/>
    <n v="2"/>
    <x v="0"/>
    <n v="1"/>
    <n v="4"/>
    <n v="35"/>
    <n v="3"/>
    <n v="4"/>
    <n v="3"/>
    <n v="17665"/>
    <n v="14399"/>
    <n v="0"/>
    <n v="17"/>
    <x v="0"/>
    <n v="4"/>
    <n v="80"/>
    <n v="1"/>
    <n v="23"/>
    <n v="3"/>
    <n v="22"/>
    <n v="6"/>
    <n v="13"/>
    <n v="7"/>
  </r>
  <r>
    <s v="Yes"/>
    <s v="Travel_Frequently"/>
    <x v="2"/>
    <s v="Ex-Employees"/>
    <x v="1"/>
    <x v="2"/>
    <s v="STAFF-1111"/>
    <n v="1111"/>
    <x v="1"/>
    <x v="2"/>
    <x v="2"/>
    <s v="No"/>
    <s v="Y"/>
    <n v="2"/>
    <n v="-2"/>
    <n v="0"/>
    <n v="28"/>
    <n v="1"/>
    <n v="1"/>
    <n v="1"/>
    <n v="0"/>
    <n v="1009"/>
    <n v="1"/>
    <x v="3"/>
    <n v="1"/>
    <n v="1"/>
    <n v="45"/>
    <n v="2"/>
    <n v="1"/>
    <n v="3"/>
    <n v="2596"/>
    <n v="7160"/>
    <n v="1"/>
    <n v="15"/>
    <x v="0"/>
    <n v="1"/>
    <n v="80"/>
    <n v="2"/>
    <n v="1"/>
    <n v="3"/>
    <n v="1"/>
    <n v="0"/>
    <n v="0"/>
    <n v="0"/>
  </r>
  <r>
    <s v="Yes"/>
    <s v="Travel_Frequently"/>
    <x v="1"/>
    <s v="Ex-Employees"/>
    <x v="0"/>
    <x v="1"/>
    <s v="STAFF-1113"/>
    <n v="1113"/>
    <x v="1"/>
    <x v="0"/>
    <x v="0"/>
    <s v="Yes"/>
    <s v="Y"/>
    <n v="4"/>
    <n v="-2"/>
    <n v="0"/>
    <n v="50"/>
    <n v="1"/>
    <n v="1"/>
    <n v="1"/>
    <n v="0"/>
    <n v="959"/>
    <n v="1"/>
    <x v="2"/>
    <n v="1"/>
    <n v="4"/>
    <n v="81"/>
    <n v="3"/>
    <n v="2"/>
    <n v="3"/>
    <n v="4728"/>
    <n v="17251"/>
    <n v="3"/>
    <n v="14"/>
    <x v="0"/>
    <n v="4"/>
    <n v="80"/>
    <n v="0"/>
    <n v="5"/>
    <n v="3"/>
    <n v="0"/>
    <n v="0"/>
    <n v="0"/>
    <n v="0"/>
  </r>
  <r>
    <s v="No"/>
    <s v="Travel_Frequently"/>
    <x v="2"/>
    <s v="Current Employees"/>
    <x v="0"/>
    <x v="0"/>
    <s v="STAFF-1114"/>
    <n v="1114"/>
    <x v="0"/>
    <x v="0"/>
    <x v="1"/>
    <s v="No"/>
    <s v="Y"/>
    <n v="3"/>
    <n v="-2"/>
    <n v="0"/>
    <n v="33"/>
    <n v="0"/>
    <m/>
    <n v="0"/>
    <n v="1"/>
    <n v="970"/>
    <n v="7"/>
    <x v="3"/>
    <n v="1"/>
    <n v="4"/>
    <n v="30"/>
    <n v="3"/>
    <n v="2"/>
    <n v="1"/>
    <n v="4302"/>
    <n v="13401"/>
    <n v="0"/>
    <n v="17"/>
    <x v="0"/>
    <n v="3"/>
    <n v="80"/>
    <n v="1"/>
    <n v="4"/>
    <n v="3"/>
    <n v="3"/>
    <n v="2"/>
    <n v="0"/>
    <n v="2"/>
  </r>
  <r>
    <s v="No"/>
    <s v="Non-Travel"/>
    <x v="2"/>
    <s v="Current Employees"/>
    <x v="1"/>
    <x v="0"/>
    <s v="STAFF-1115"/>
    <n v="1115"/>
    <x v="1"/>
    <x v="1"/>
    <x v="1"/>
    <s v="No"/>
    <s v="Y"/>
    <n v="2"/>
    <n v="-2"/>
    <n v="0"/>
    <n v="34"/>
    <n v="0"/>
    <m/>
    <n v="0"/>
    <n v="1"/>
    <n v="697"/>
    <n v="3"/>
    <x v="2"/>
    <n v="1"/>
    <n v="3"/>
    <n v="40"/>
    <n v="2"/>
    <n v="1"/>
    <n v="1"/>
    <n v="2979"/>
    <n v="22478"/>
    <n v="3"/>
    <n v="17"/>
    <x v="0"/>
    <n v="4"/>
    <n v="80"/>
    <n v="3"/>
    <n v="6"/>
    <n v="3"/>
    <n v="0"/>
    <n v="0"/>
    <n v="0"/>
    <n v="0"/>
  </r>
  <r>
    <s v="No"/>
    <s v="Non-Travel"/>
    <x v="1"/>
    <s v="Current Employees"/>
    <x v="1"/>
    <x v="2"/>
    <s v="STAFF-1116"/>
    <n v="1116"/>
    <x v="1"/>
    <x v="5"/>
    <x v="0"/>
    <s v="No"/>
    <s v="Y"/>
    <n v="3"/>
    <n v="-2"/>
    <n v="0"/>
    <n v="48"/>
    <n v="0"/>
    <m/>
    <n v="0"/>
    <n v="1"/>
    <n v="1262"/>
    <n v="1"/>
    <x v="2"/>
    <n v="1"/>
    <n v="1"/>
    <n v="35"/>
    <n v="4"/>
    <n v="4"/>
    <n v="4"/>
    <n v="16885"/>
    <n v="16154"/>
    <n v="2"/>
    <n v="22"/>
    <x v="1"/>
    <n v="3"/>
    <n v="80"/>
    <n v="0"/>
    <n v="27"/>
    <n v="2"/>
    <n v="5"/>
    <n v="4"/>
    <n v="2"/>
    <n v="1"/>
  </r>
  <r>
    <s v="No"/>
    <s v="Non-Travel"/>
    <x v="1"/>
    <s v="Current Employees"/>
    <x v="0"/>
    <x v="0"/>
    <s v="STAFF-1117"/>
    <n v="1117"/>
    <x v="0"/>
    <x v="0"/>
    <x v="1"/>
    <s v="No"/>
    <s v="Y"/>
    <n v="2"/>
    <n v="-2"/>
    <n v="0"/>
    <n v="45"/>
    <n v="0"/>
    <m/>
    <n v="0"/>
    <n v="1"/>
    <n v="1050"/>
    <n v="9"/>
    <x v="2"/>
    <n v="1"/>
    <n v="2"/>
    <n v="65"/>
    <n v="2"/>
    <n v="2"/>
    <n v="1"/>
    <n v="5593"/>
    <n v="17970"/>
    <n v="1"/>
    <n v="13"/>
    <x v="0"/>
    <n v="4"/>
    <n v="80"/>
    <n v="1"/>
    <n v="15"/>
    <n v="3"/>
    <n v="15"/>
    <n v="10"/>
    <n v="4"/>
    <n v="12"/>
  </r>
  <r>
    <s v="No"/>
    <s v="Travel_Rarely"/>
    <x v="1"/>
    <s v="Current Employees"/>
    <x v="1"/>
    <x v="0"/>
    <s v="STAFF-1118"/>
    <n v="1118"/>
    <x v="1"/>
    <x v="4"/>
    <x v="0"/>
    <s v="No"/>
    <s v="Y"/>
    <n v="4"/>
    <n v="-2"/>
    <n v="0"/>
    <n v="52"/>
    <n v="0"/>
    <m/>
    <n v="0"/>
    <n v="1"/>
    <n v="994"/>
    <n v="7"/>
    <x v="2"/>
    <n v="1"/>
    <n v="2"/>
    <n v="87"/>
    <n v="3"/>
    <n v="3"/>
    <n v="1"/>
    <n v="10445"/>
    <n v="15322"/>
    <n v="7"/>
    <n v="19"/>
    <x v="0"/>
    <n v="4"/>
    <n v="80"/>
    <n v="0"/>
    <n v="18"/>
    <n v="3"/>
    <n v="8"/>
    <n v="6"/>
    <n v="4"/>
    <n v="0"/>
  </r>
  <r>
    <s v="No"/>
    <s v="Travel_Rarely"/>
    <x v="0"/>
    <s v="Current Employees"/>
    <x v="0"/>
    <x v="3"/>
    <s v="STAFF-1119"/>
    <n v="1119"/>
    <x v="1"/>
    <x v="0"/>
    <x v="2"/>
    <s v="Yes"/>
    <s v="Y"/>
    <n v="2"/>
    <n v="-2"/>
    <n v="0"/>
    <n v="38"/>
    <n v="0"/>
    <m/>
    <n v="0"/>
    <n v="1"/>
    <n v="770"/>
    <n v="10"/>
    <x v="2"/>
    <n v="1"/>
    <n v="3"/>
    <n v="73"/>
    <n v="2"/>
    <n v="3"/>
    <n v="2"/>
    <n v="8740"/>
    <n v="5569"/>
    <n v="0"/>
    <n v="14"/>
    <x v="0"/>
    <n v="2"/>
    <n v="80"/>
    <n v="2"/>
    <n v="9"/>
    <n v="3"/>
    <n v="8"/>
    <n v="7"/>
    <n v="2"/>
    <n v="7"/>
  </r>
  <r>
    <s v="No"/>
    <s v="Travel_Rarely"/>
    <x v="2"/>
    <s v="Current Employees"/>
    <x v="1"/>
    <x v="0"/>
    <s v="STAFF-1120"/>
    <n v="1120"/>
    <x v="0"/>
    <x v="1"/>
    <x v="2"/>
    <s v="No"/>
    <s v="Y"/>
    <n v="1"/>
    <n v="-2"/>
    <n v="0"/>
    <n v="29"/>
    <n v="0"/>
    <m/>
    <n v="0"/>
    <n v="1"/>
    <n v="1107"/>
    <n v="28"/>
    <x v="2"/>
    <n v="1"/>
    <n v="3"/>
    <n v="93"/>
    <n v="3"/>
    <n v="1"/>
    <n v="1"/>
    <n v="2514"/>
    <n v="26968"/>
    <n v="4"/>
    <n v="22"/>
    <x v="1"/>
    <n v="1"/>
    <n v="80"/>
    <n v="1"/>
    <n v="11"/>
    <n v="3"/>
    <n v="7"/>
    <n v="5"/>
    <n v="1"/>
    <n v="7"/>
  </r>
  <r>
    <s v="No"/>
    <s v="Travel_Rarely"/>
    <x v="2"/>
    <s v="Current Employees"/>
    <x v="1"/>
    <x v="2"/>
    <s v="STAFF-1121"/>
    <n v="1121"/>
    <x v="0"/>
    <x v="3"/>
    <x v="2"/>
    <s v="No"/>
    <s v="Y"/>
    <n v="3"/>
    <n v="-2"/>
    <n v="0"/>
    <n v="28"/>
    <n v="0"/>
    <m/>
    <n v="0"/>
    <n v="1"/>
    <n v="950"/>
    <n v="3"/>
    <x v="3"/>
    <n v="1"/>
    <n v="4"/>
    <n v="93"/>
    <n v="3"/>
    <n v="3"/>
    <n v="3"/>
    <n v="7655"/>
    <n v="8039"/>
    <n v="0"/>
    <n v="17"/>
    <x v="0"/>
    <n v="2"/>
    <n v="80"/>
    <n v="3"/>
    <n v="10"/>
    <n v="2"/>
    <n v="9"/>
    <n v="7"/>
    <n v="1"/>
    <n v="7"/>
  </r>
  <r>
    <s v="No"/>
    <s v="Travel_Rarely"/>
    <x v="1"/>
    <s v="Current Employees"/>
    <x v="0"/>
    <x v="3"/>
    <s v="STAFF-1124"/>
    <n v="1124"/>
    <x v="1"/>
    <x v="5"/>
    <x v="1"/>
    <s v="No"/>
    <s v="Y"/>
    <n v="3"/>
    <n v="-2"/>
    <n v="0"/>
    <n v="46"/>
    <n v="0"/>
    <m/>
    <n v="0"/>
    <n v="1"/>
    <n v="406"/>
    <n v="3"/>
    <x v="1"/>
    <n v="1"/>
    <n v="1"/>
    <n v="52"/>
    <n v="3"/>
    <n v="4"/>
    <n v="2"/>
    <n v="17465"/>
    <n v="15596"/>
    <n v="3"/>
    <n v="12"/>
    <x v="0"/>
    <n v="4"/>
    <n v="80"/>
    <n v="1"/>
    <n v="23"/>
    <n v="3"/>
    <n v="12"/>
    <n v="9"/>
    <n v="4"/>
    <n v="9"/>
  </r>
  <r>
    <s v="No"/>
    <s v="Travel_Rarely"/>
    <x v="0"/>
    <s v="Current Employees"/>
    <x v="0"/>
    <x v="3"/>
    <s v="STAFF-1125"/>
    <n v="1125"/>
    <x v="1"/>
    <x v="0"/>
    <x v="0"/>
    <s v="No"/>
    <s v="Y"/>
    <n v="2"/>
    <n v="-2"/>
    <n v="0"/>
    <n v="38"/>
    <n v="0"/>
    <m/>
    <n v="0"/>
    <n v="1"/>
    <n v="130"/>
    <n v="2"/>
    <x v="0"/>
    <n v="1"/>
    <n v="4"/>
    <n v="32"/>
    <n v="3"/>
    <n v="3"/>
    <n v="2"/>
    <n v="7351"/>
    <n v="20619"/>
    <n v="7"/>
    <n v="16"/>
    <x v="0"/>
    <n v="3"/>
    <n v="80"/>
    <n v="0"/>
    <n v="10"/>
    <n v="3"/>
    <n v="1"/>
    <n v="0"/>
    <n v="0"/>
    <n v="0"/>
  </r>
  <r>
    <s v="No"/>
    <s v="Travel_Frequently"/>
    <x v="0"/>
    <s v="Current Employees"/>
    <x v="1"/>
    <x v="0"/>
    <s v="STAFF-1126"/>
    <n v="1126"/>
    <x v="0"/>
    <x v="3"/>
    <x v="1"/>
    <s v="No"/>
    <s v="Y"/>
    <n v="1"/>
    <n v="-2"/>
    <n v="0"/>
    <n v="43"/>
    <n v="0"/>
    <m/>
    <n v="0"/>
    <n v="1"/>
    <n v="1082"/>
    <n v="27"/>
    <x v="3"/>
    <n v="1"/>
    <n v="3"/>
    <n v="83"/>
    <n v="3"/>
    <n v="3"/>
    <n v="1"/>
    <n v="10820"/>
    <n v="11535"/>
    <n v="8"/>
    <n v="11"/>
    <x v="0"/>
    <n v="3"/>
    <n v="80"/>
    <n v="1"/>
    <n v="18"/>
    <n v="3"/>
    <n v="8"/>
    <n v="7"/>
    <n v="0"/>
    <n v="1"/>
  </r>
  <r>
    <s v="Yes"/>
    <s v="Travel_Frequently"/>
    <x v="0"/>
    <s v="Ex-Employees"/>
    <x v="1"/>
    <x v="0"/>
    <s v="STAFF-1127"/>
    <n v="1127"/>
    <x v="1"/>
    <x v="4"/>
    <x v="2"/>
    <s v="No"/>
    <s v="Y"/>
    <n v="4"/>
    <n v="-2"/>
    <n v="0"/>
    <n v="39"/>
    <n v="1"/>
    <n v="1"/>
    <n v="1"/>
    <n v="0"/>
    <n v="203"/>
    <n v="2"/>
    <x v="3"/>
    <n v="1"/>
    <n v="1"/>
    <n v="84"/>
    <n v="3"/>
    <n v="4"/>
    <n v="1"/>
    <n v="12169"/>
    <n v="13547"/>
    <n v="7"/>
    <n v="11"/>
    <x v="0"/>
    <n v="4"/>
    <n v="80"/>
    <n v="3"/>
    <n v="21"/>
    <n v="3"/>
    <n v="18"/>
    <n v="7"/>
    <n v="11"/>
    <n v="5"/>
  </r>
  <r>
    <s v="No"/>
    <s v="Travel_Rarely"/>
    <x v="0"/>
    <s v="Current Employees"/>
    <x v="1"/>
    <x v="2"/>
    <s v="STAFF-1128"/>
    <n v="1128"/>
    <x v="1"/>
    <x v="7"/>
    <x v="0"/>
    <s v="No"/>
    <s v="Y"/>
    <n v="2"/>
    <n v="-2"/>
    <n v="0"/>
    <n v="40"/>
    <n v="0"/>
    <m/>
    <n v="0"/>
    <n v="1"/>
    <n v="1308"/>
    <n v="14"/>
    <x v="3"/>
    <n v="1"/>
    <n v="3"/>
    <n v="44"/>
    <n v="2"/>
    <n v="5"/>
    <n v="3"/>
    <n v="19626"/>
    <n v="17544"/>
    <n v="1"/>
    <n v="14"/>
    <x v="0"/>
    <n v="1"/>
    <n v="80"/>
    <n v="0"/>
    <n v="21"/>
    <n v="4"/>
    <n v="20"/>
    <n v="7"/>
    <n v="4"/>
    <n v="9"/>
  </r>
  <r>
    <s v="No"/>
    <s v="Travel_Rarely"/>
    <x v="4"/>
    <s v="Current Employees"/>
    <x v="1"/>
    <x v="4"/>
    <s v="STAFF-1131"/>
    <n v="1131"/>
    <x v="0"/>
    <x v="1"/>
    <x v="0"/>
    <s v="Yes"/>
    <s v="Y"/>
    <n v="6"/>
    <n v="-2"/>
    <n v="0"/>
    <n v="21"/>
    <n v="0"/>
    <m/>
    <n v="0"/>
    <n v="1"/>
    <n v="984"/>
    <n v="1"/>
    <x v="1"/>
    <n v="1"/>
    <n v="4"/>
    <n v="70"/>
    <n v="2"/>
    <n v="1"/>
    <n v="4"/>
    <n v="2070"/>
    <n v="25326"/>
    <n v="1"/>
    <n v="11"/>
    <x v="0"/>
    <n v="3"/>
    <n v="80"/>
    <n v="0"/>
    <n v="2"/>
    <n v="4"/>
    <n v="2"/>
    <n v="2"/>
    <n v="2"/>
    <n v="2"/>
  </r>
  <r>
    <s v="No"/>
    <s v="Non-Travel"/>
    <x v="0"/>
    <s v="Current Employees"/>
    <x v="1"/>
    <x v="0"/>
    <s v="STAFF-1132"/>
    <n v="1132"/>
    <x v="1"/>
    <x v="2"/>
    <x v="0"/>
    <s v="No"/>
    <s v="Y"/>
    <n v="2"/>
    <n v="-2"/>
    <n v="0"/>
    <n v="39"/>
    <n v="0"/>
    <m/>
    <n v="0"/>
    <n v="1"/>
    <n v="439"/>
    <n v="9"/>
    <x v="3"/>
    <n v="1"/>
    <n v="3"/>
    <n v="70"/>
    <n v="3"/>
    <n v="2"/>
    <n v="1"/>
    <n v="6782"/>
    <n v="8770"/>
    <n v="9"/>
    <n v="15"/>
    <x v="0"/>
    <n v="3"/>
    <n v="80"/>
    <n v="0"/>
    <n v="9"/>
    <n v="2"/>
    <n v="5"/>
    <n v="4"/>
    <n v="0"/>
    <n v="3"/>
  </r>
  <r>
    <s v="No"/>
    <s v="Non-Travel"/>
    <x v="0"/>
    <s v="Current Employees"/>
    <x v="1"/>
    <x v="0"/>
    <s v="STAFF-1133"/>
    <n v="1133"/>
    <x v="1"/>
    <x v="3"/>
    <x v="0"/>
    <s v="No"/>
    <s v="Y"/>
    <n v="0"/>
    <n v="-2"/>
    <n v="0"/>
    <n v="36"/>
    <n v="0"/>
    <m/>
    <n v="0"/>
    <n v="1"/>
    <n v="217"/>
    <n v="18"/>
    <x v="2"/>
    <n v="1"/>
    <n v="1"/>
    <n v="78"/>
    <n v="3"/>
    <n v="2"/>
    <n v="1"/>
    <n v="7779"/>
    <n v="23238"/>
    <n v="2"/>
    <n v="20"/>
    <x v="1"/>
    <n v="1"/>
    <n v="80"/>
    <n v="0"/>
    <n v="18"/>
    <n v="3"/>
    <n v="11"/>
    <n v="9"/>
    <n v="0"/>
    <n v="9"/>
  </r>
  <r>
    <s v="No"/>
    <s v="Travel_Frequently"/>
    <x v="2"/>
    <s v="Current Employees"/>
    <x v="0"/>
    <x v="0"/>
    <s v="STAFF-1135"/>
    <n v="1135"/>
    <x v="1"/>
    <x v="6"/>
    <x v="1"/>
    <s v="No"/>
    <s v="Y"/>
    <n v="4"/>
    <n v="-2"/>
    <n v="0"/>
    <n v="31"/>
    <n v="0"/>
    <m/>
    <n v="0"/>
    <n v="1"/>
    <n v="793"/>
    <n v="20"/>
    <x v="3"/>
    <n v="1"/>
    <n v="3"/>
    <n v="67"/>
    <n v="4"/>
    <n v="1"/>
    <n v="1"/>
    <n v="2791"/>
    <n v="21981"/>
    <n v="0"/>
    <n v="12"/>
    <x v="0"/>
    <n v="1"/>
    <n v="80"/>
    <n v="1"/>
    <n v="3"/>
    <n v="3"/>
    <n v="2"/>
    <n v="2"/>
    <n v="2"/>
    <n v="2"/>
  </r>
  <r>
    <s v="No"/>
    <s v="Travel_Rarely"/>
    <x v="2"/>
    <s v="Current Employees"/>
    <x v="1"/>
    <x v="0"/>
    <s v="STAFF-1136"/>
    <n v="1136"/>
    <x v="1"/>
    <x v="1"/>
    <x v="1"/>
    <s v="No"/>
    <s v="Y"/>
    <n v="2"/>
    <n v="-2"/>
    <n v="0"/>
    <n v="28"/>
    <n v="0"/>
    <m/>
    <n v="0"/>
    <n v="1"/>
    <n v="1451"/>
    <n v="2"/>
    <x v="1"/>
    <n v="1"/>
    <n v="1"/>
    <n v="67"/>
    <n v="2"/>
    <n v="1"/>
    <n v="1"/>
    <n v="3201"/>
    <n v="19911"/>
    <n v="0"/>
    <n v="17"/>
    <x v="0"/>
    <n v="1"/>
    <n v="80"/>
    <n v="0"/>
    <n v="6"/>
    <n v="1"/>
    <n v="5"/>
    <n v="3"/>
    <n v="0"/>
    <n v="4"/>
  </r>
  <r>
    <s v="No"/>
    <s v="Travel_Frequently"/>
    <x v="0"/>
    <s v="Current Employees"/>
    <x v="0"/>
    <x v="3"/>
    <s v="STAFF-1137"/>
    <n v="1137"/>
    <x v="1"/>
    <x v="0"/>
    <x v="2"/>
    <s v="No"/>
    <s v="Y"/>
    <n v="3"/>
    <n v="-2"/>
    <n v="0"/>
    <n v="35"/>
    <n v="0"/>
    <m/>
    <n v="0"/>
    <n v="1"/>
    <n v="1182"/>
    <n v="11"/>
    <x v="0"/>
    <n v="1"/>
    <n v="4"/>
    <n v="54"/>
    <n v="3"/>
    <n v="2"/>
    <n v="2"/>
    <n v="4968"/>
    <n v="18500"/>
    <n v="1"/>
    <n v="11"/>
    <x v="0"/>
    <n v="4"/>
    <n v="80"/>
    <n v="1"/>
    <n v="5"/>
    <n v="3"/>
    <n v="5"/>
    <n v="2"/>
    <n v="0"/>
    <n v="2"/>
  </r>
  <r>
    <s v="No"/>
    <s v="Travel_Rarely"/>
    <x v="1"/>
    <s v="Current Employees"/>
    <x v="0"/>
    <x v="4"/>
    <s v="STAFF-1138"/>
    <n v="1138"/>
    <x v="1"/>
    <x v="0"/>
    <x v="1"/>
    <s v="No"/>
    <s v="Y"/>
    <n v="3"/>
    <n v="-2"/>
    <n v="0"/>
    <n v="49"/>
    <n v="0"/>
    <m/>
    <n v="0"/>
    <n v="1"/>
    <n v="174"/>
    <n v="8"/>
    <x v="2"/>
    <n v="1"/>
    <n v="4"/>
    <n v="56"/>
    <n v="2"/>
    <n v="4"/>
    <n v="4"/>
    <n v="13120"/>
    <n v="11879"/>
    <n v="6"/>
    <n v="17"/>
    <x v="0"/>
    <n v="2"/>
    <n v="80"/>
    <n v="1"/>
    <n v="22"/>
    <n v="3"/>
    <n v="9"/>
    <n v="8"/>
    <n v="2"/>
    <n v="3"/>
  </r>
  <r>
    <s v="No"/>
    <s v="Travel_Frequently"/>
    <x v="2"/>
    <s v="Current Employees"/>
    <x v="1"/>
    <x v="0"/>
    <s v="STAFF-1140"/>
    <n v="1140"/>
    <x v="1"/>
    <x v="3"/>
    <x v="0"/>
    <s v="No"/>
    <s v="Y"/>
    <n v="3"/>
    <n v="-2"/>
    <n v="0"/>
    <n v="34"/>
    <n v="0"/>
    <m/>
    <n v="0"/>
    <n v="1"/>
    <n v="1003"/>
    <n v="2"/>
    <x v="0"/>
    <n v="1"/>
    <n v="4"/>
    <n v="95"/>
    <n v="3"/>
    <n v="2"/>
    <n v="1"/>
    <n v="4033"/>
    <n v="15834"/>
    <n v="2"/>
    <n v="11"/>
    <x v="0"/>
    <n v="4"/>
    <n v="80"/>
    <n v="0"/>
    <n v="5"/>
    <n v="2"/>
    <n v="3"/>
    <n v="2"/>
    <n v="0"/>
    <n v="2"/>
  </r>
  <r>
    <s v="No"/>
    <s v="Travel_Frequently"/>
    <x v="2"/>
    <s v="Current Employees"/>
    <x v="1"/>
    <x v="0"/>
    <s v="STAFF-1143"/>
    <n v="1143"/>
    <x v="0"/>
    <x v="1"/>
    <x v="2"/>
    <s v="No"/>
    <s v="Y"/>
    <n v="2"/>
    <n v="-2"/>
    <n v="0"/>
    <n v="29"/>
    <n v="0"/>
    <m/>
    <n v="0"/>
    <n v="1"/>
    <n v="490"/>
    <n v="10"/>
    <x v="3"/>
    <n v="1"/>
    <n v="4"/>
    <n v="61"/>
    <n v="3"/>
    <n v="1"/>
    <n v="1"/>
    <n v="3291"/>
    <n v="17940"/>
    <n v="0"/>
    <n v="14"/>
    <x v="0"/>
    <n v="4"/>
    <n v="80"/>
    <n v="2"/>
    <n v="8"/>
    <n v="2"/>
    <n v="7"/>
    <n v="5"/>
    <n v="1"/>
    <n v="1"/>
  </r>
  <r>
    <s v="No"/>
    <s v="Travel_Rarely"/>
    <x v="0"/>
    <s v="Current Employees"/>
    <x v="1"/>
    <x v="2"/>
    <s v="STAFF-1148"/>
    <n v="1148"/>
    <x v="1"/>
    <x v="2"/>
    <x v="0"/>
    <s v="No"/>
    <s v="Y"/>
    <n v="3"/>
    <n v="-2"/>
    <n v="0"/>
    <n v="42"/>
    <n v="0"/>
    <m/>
    <n v="0"/>
    <n v="1"/>
    <n v="188"/>
    <n v="29"/>
    <x v="3"/>
    <n v="1"/>
    <n v="2"/>
    <n v="56"/>
    <n v="1"/>
    <n v="2"/>
    <n v="4"/>
    <n v="4272"/>
    <n v="9558"/>
    <n v="4"/>
    <n v="19"/>
    <x v="0"/>
    <n v="1"/>
    <n v="80"/>
    <n v="0"/>
    <n v="16"/>
    <n v="3"/>
    <n v="1"/>
    <n v="0"/>
    <n v="0"/>
    <n v="0"/>
  </r>
  <r>
    <s v="No"/>
    <s v="Travel_Rarely"/>
    <x v="2"/>
    <s v="Current Employees"/>
    <x v="1"/>
    <x v="2"/>
    <s v="STAFF-1150"/>
    <n v="1150"/>
    <x v="1"/>
    <x v="3"/>
    <x v="1"/>
    <s v="Yes"/>
    <s v="Y"/>
    <n v="2"/>
    <n v="-2"/>
    <n v="0"/>
    <n v="29"/>
    <n v="0"/>
    <m/>
    <n v="0"/>
    <n v="1"/>
    <n v="718"/>
    <n v="8"/>
    <x v="1"/>
    <n v="1"/>
    <n v="2"/>
    <n v="79"/>
    <n v="2"/>
    <n v="2"/>
    <n v="4"/>
    <n v="5056"/>
    <n v="17689"/>
    <n v="1"/>
    <n v="15"/>
    <x v="0"/>
    <n v="3"/>
    <n v="80"/>
    <n v="1"/>
    <n v="10"/>
    <n v="2"/>
    <n v="10"/>
    <n v="7"/>
    <n v="1"/>
    <n v="2"/>
  </r>
  <r>
    <s v="No"/>
    <s v="Travel_Rarely"/>
    <x v="0"/>
    <s v="Current Employees"/>
    <x v="2"/>
    <x v="5"/>
    <s v="STAFF-1152"/>
    <n v="1152"/>
    <x v="1"/>
    <x v="8"/>
    <x v="1"/>
    <s v="No"/>
    <s v="Y"/>
    <n v="2"/>
    <n v="-2"/>
    <n v="0"/>
    <n v="38"/>
    <n v="0"/>
    <m/>
    <n v="0"/>
    <n v="1"/>
    <n v="433"/>
    <n v="1"/>
    <x v="3"/>
    <n v="1"/>
    <n v="3"/>
    <n v="37"/>
    <n v="4"/>
    <n v="1"/>
    <n v="3"/>
    <n v="2844"/>
    <n v="6004"/>
    <n v="1"/>
    <n v="13"/>
    <x v="0"/>
    <n v="4"/>
    <n v="80"/>
    <n v="1"/>
    <n v="7"/>
    <n v="4"/>
    <n v="7"/>
    <n v="6"/>
    <n v="5"/>
    <n v="0"/>
  </r>
  <r>
    <s v="No"/>
    <s v="Travel_Frequently"/>
    <x v="2"/>
    <s v="Current Employees"/>
    <x v="1"/>
    <x v="0"/>
    <s v="STAFF-1154"/>
    <n v="1154"/>
    <x v="1"/>
    <x v="1"/>
    <x v="2"/>
    <s v="Yes"/>
    <s v="Y"/>
    <n v="2"/>
    <n v="-2"/>
    <n v="0"/>
    <n v="28"/>
    <n v="0"/>
    <m/>
    <n v="0"/>
    <n v="1"/>
    <n v="773"/>
    <n v="6"/>
    <x v="3"/>
    <n v="1"/>
    <n v="3"/>
    <n v="39"/>
    <n v="2"/>
    <n v="1"/>
    <n v="1"/>
    <n v="2703"/>
    <n v="22088"/>
    <n v="1"/>
    <n v="14"/>
    <x v="0"/>
    <n v="4"/>
    <n v="80"/>
    <n v="1"/>
    <n v="3"/>
    <n v="3"/>
    <n v="3"/>
    <n v="1"/>
    <n v="0"/>
    <n v="2"/>
  </r>
  <r>
    <s v="Yes"/>
    <s v="Non-Travel"/>
    <x v="4"/>
    <s v="Ex-Employees"/>
    <x v="1"/>
    <x v="2"/>
    <s v="STAFF-1156"/>
    <n v="1156"/>
    <x v="1"/>
    <x v="2"/>
    <x v="0"/>
    <s v="No"/>
    <s v="Y"/>
    <n v="0"/>
    <n v="-2"/>
    <n v="0"/>
    <n v="18"/>
    <n v="1"/>
    <n v="1"/>
    <n v="1"/>
    <n v="0"/>
    <n v="247"/>
    <n v="8"/>
    <x v="1"/>
    <n v="1"/>
    <n v="3"/>
    <n v="80"/>
    <n v="3"/>
    <n v="1"/>
    <n v="3"/>
    <n v="1904"/>
    <n v="13556"/>
    <n v="1"/>
    <n v="12"/>
    <x v="0"/>
    <n v="4"/>
    <n v="80"/>
    <n v="0"/>
    <n v="0"/>
    <n v="3"/>
    <n v="0"/>
    <n v="0"/>
    <n v="0"/>
    <n v="0"/>
  </r>
  <r>
    <s v="Yes"/>
    <s v="Travel_Rarely"/>
    <x v="2"/>
    <s v="Ex-Employees"/>
    <x v="0"/>
    <x v="3"/>
    <s v="STAFF-1157"/>
    <n v="1157"/>
    <x v="0"/>
    <x v="0"/>
    <x v="0"/>
    <s v="Yes"/>
    <s v="Y"/>
    <n v="3"/>
    <n v="-2"/>
    <n v="0"/>
    <n v="33"/>
    <n v="1"/>
    <n v="1"/>
    <n v="1"/>
    <n v="0"/>
    <n v="603"/>
    <n v="9"/>
    <x v="2"/>
    <n v="1"/>
    <n v="1"/>
    <n v="77"/>
    <n v="3"/>
    <n v="2"/>
    <n v="2"/>
    <n v="8224"/>
    <n v="18385"/>
    <n v="0"/>
    <n v="17"/>
    <x v="0"/>
    <n v="1"/>
    <n v="80"/>
    <n v="0"/>
    <n v="6"/>
    <n v="3"/>
    <n v="5"/>
    <n v="2"/>
    <n v="0"/>
    <n v="3"/>
  </r>
  <r>
    <s v="No"/>
    <s v="Travel_Rarely"/>
    <x v="0"/>
    <s v="Current Employees"/>
    <x v="1"/>
    <x v="0"/>
    <s v="STAFF-1158"/>
    <n v="1158"/>
    <x v="1"/>
    <x v="2"/>
    <x v="1"/>
    <s v="Yes"/>
    <s v="Y"/>
    <n v="4"/>
    <n v="-2"/>
    <n v="0"/>
    <n v="41"/>
    <n v="0"/>
    <m/>
    <n v="0"/>
    <n v="1"/>
    <n v="167"/>
    <n v="12"/>
    <x v="2"/>
    <n v="1"/>
    <n v="2"/>
    <n v="46"/>
    <n v="3"/>
    <n v="1"/>
    <n v="1"/>
    <n v="4766"/>
    <n v="9051"/>
    <n v="3"/>
    <n v="11"/>
    <x v="0"/>
    <n v="1"/>
    <n v="80"/>
    <n v="1"/>
    <n v="6"/>
    <n v="3"/>
    <n v="1"/>
    <n v="0"/>
    <n v="0"/>
    <n v="0"/>
  </r>
  <r>
    <s v="Yes"/>
    <s v="Travel_Frequently"/>
    <x v="2"/>
    <s v="Ex-Employees"/>
    <x v="1"/>
    <x v="2"/>
    <s v="STAFF-1160"/>
    <n v="1160"/>
    <x v="1"/>
    <x v="2"/>
    <x v="1"/>
    <s v="No"/>
    <s v="Y"/>
    <n v="5"/>
    <n v="-2"/>
    <n v="0"/>
    <n v="31"/>
    <n v="1"/>
    <n v="1"/>
    <n v="1"/>
    <n v="0"/>
    <n v="874"/>
    <n v="15"/>
    <x v="3"/>
    <n v="1"/>
    <n v="3"/>
    <n v="72"/>
    <n v="3"/>
    <n v="1"/>
    <n v="3"/>
    <n v="2610"/>
    <n v="6233"/>
    <n v="1"/>
    <n v="12"/>
    <x v="0"/>
    <n v="3"/>
    <n v="80"/>
    <n v="1"/>
    <n v="2"/>
    <n v="2"/>
    <n v="2"/>
    <n v="2"/>
    <n v="2"/>
    <n v="2"/>
  </r>
  <r>
    <s v="No"/>
    <s v="Travel_Rarely"/>
    <x v="0"/>
    <s v="Current Employees"/>
    <x v="1"/>
    <x v="2"/>
    <s v="STAFF-1161"/>
    <n v="1161"/>
    <x v="0"/>
    <x v="4"/>
    <x v="2"/>
    <s v="No"/>
    <s v="Y"/>
    <n v="2"/>
    <n v="-2"/>
    <n v="0"/>
    <n v="37"/>
    <n v="0"/>
    <m/>
    <n v="0"/>
    <n v="1"/>
    <n v="367"/>
    <n v="25"/>
    <x v="0"/>
    <n v="1"/>
    <n v="3"/>
    <n v="52"/>
    <n v="2"/>
    <n v="2"/>
    <n v="4"/>
    <n v="5731"/>
    <n v="17171"/>
    <n v="7"/>
    <n v="13"/>
    <x v="0"/>
    <n v="3"/>
    <n v="80"/>
    <n v="2"/>
    <n v="9"/>
    <n v="3"/>
    <n v="6"/>
    <n v="2"/>
    <n v="1"/>
    <n v="3"/>
  </r>
  <r>
    <s v="No"/>
    <s v="Travel_Rarely"/>
    <x v="2"/>
    <s v="Current Employees"/>
    <x v="1"/>
    <x v="0"/>
    <s v="STAFF-1162"/>
    <n v="1162"/>
    <x v="1"/>
    <x v="1"/>
    <x v="1"/>
    <s v="No"/>
    <s v="Y"/>
    <n v="0"/>
    <n v="-2"/>
    <n v="0"/>
    <n v="27"/>
    <n v="0"/>
    <m/>
    <n v="0"/>
    <n v="1"/>
    <n v="199"/>
    <n v="6"/>
    <x v="3"/>
    <n v="1"/>
    <n v="4"/>
    <n v="55"/>
    <n v="2"/>
    <n v="1"/>
    <n v="1"/>
    <n v="2539"/>
    <n v="7950"/>
    <n v="1"/>
    <n v="13"/>
    <x v="0"/>
    <n v="3"/>
    <n v="80"/>
    <n v="1"/>
    <n v="4"/>
    <n v="3"/>
    <n v="4"/>
    <n v="2"/>
    <n v="2"/>
    <n v="2"/>
  </r>
  <r>
    <s v="No"/>
    <s v="Travel_Rarely"/>
    <x v="2"/>
    <s v="Current Employees"/>
    <x v="0"/>
    <x v="0"/>
    <s v="STAFF-1163"/>
    <n v="1163"/>
    <x v="0"/>
    <x v="0"/>
    <x v="1"/>
    <s v="No"/>
    <s v="Y"/>
    <n v="3"/>
    <n v="-2"/>
    <n v="0"/>
    <n v="34"/>
    <n v="0"/>
    <m/>
    <n v="0"/>
    <n v="1"/>
    <n v="1400"/>
    <n v="9"/>
    <x v="1"/>
    <n v="1"/>
    <n v="2"/>
    <n v="70"/>
    <n v="3"/>
    <n v="2"/>
    <n v="1"/>
    <n v="5714"/>
    <n v="5829"/>
    <n v="1"/>
    <n v="20"/>
    <x v="1"/>
    <n v="1"/>
    <n v="80"/>
    <n v="0"/>
    <n v="6"/>
    <n v="2"/>
    <n v="6"/>
    <n v="5"/>
    <n v="1"/>
    <n v="3"/>
  </r>
  <r>
    <s v="No"/>
    <s v="Travel_Rarely"/>
    <x v="0"/>
    <s v="Current Employees"/>
    <x v="2"/>
    <x v="4"/>
    <s v="STAFF-1164"/>
    <n v="1164"/>
    <x v="1"/>
    <x v="8"/>
    <x v="0"/>
    <s v="No"/>
    <s v="Y"/>
    <n v="2"/>
    <n v="-2"/>
    <n v="0"/>
    <n v="35"/>
    <n v="0"/>
    <m/>
    <n v="0"/>
    <n v="1"/>
    <n v="528"/>
    <n v="8"/>
    <x v="2"/>
    <n v="1"/>
    <n v="4"/>
    <n v="100"/>
    <n v="3"/>
    <n v="1"/>
    <n v="4"/>
    <n v="4323"/>
    <n v="7108"/>
    <n v="1"/>
    <n v="17"/>
    <x v="0"/>
    <n v="2"/>
    <n v="80"/>
    <n v="0"/>
    <n v="6"/>
    <n v="1"/>
    <n v="5"/>
    <n v="4"/>
    <n v="1"/>
    <n v="4"/>
  </r>
  <r>
    <s v="Yes"/>
    <s v="Travel_Rarely"/>
    <x v="2"/>
    <s v="Ex-Employees"/>
    <x v="0"/>
    <x v="0"/>
    <s v="STAFF-1165"/>
    <n v="1165"/>
    <x v="0"/>
    <x v="0"/>
    <x v="1"/>
    <s v="No"/>
    <s v="Y"/>
    <n v="3"/>
    <n v="-2"/>
    <n v="0"/>
    <n v="29"/>
    <n v="1"/>
    <n v="1"/>
    <n v="1"/>
    <n v="0"/>
    <n v="408"/>
    <n v="23"/>
    <x v="1"/>
    <n v="1"/>
    <n v="4"/>
    <n v="45"/>
    <n v="2"/>
    <n v="3"/>
    <n v="1"/>
    <n v="7336"/>
    <n v="11162"/>
    <n v="1"/>
    <n v="13"/>
    <x v="0"/>
    <n v="1"/>
    <n v="80"/>
    <n v="1"/>
    <n v="11"/>
    <n v="1"/>
    <n v="11"/>
    <n v="8"/>
    <n v="3"/>
    <n v="10"/>
  </r>
  <r>
    <s v="No"/>
    <s v="Travel_Frequently"/>
    <x v="0"/>
    <s v="Current Employees"/>
    <x v="1"/>
    <x v="2"/>
    <s v="STAFF-1166"/>
    <n v="1166"/>
    <x v="0"/>
    <x v="7"/>
    <x v="0"/>
    <s v="No"/>
    <s v="Y"/>
    <n v="3"/>
    <n v="-2"/>
    <n v="0"/>
    <n v="40"/>
    <n v="0"/>
    <m/>
    <n v="0"/>
    <n v="1"/>
    <n v="593"/>
    <n v="9"/>
    <x v="2"/>
    <n v="1"/>
    <n v="2"/>
    <n v="88"/>
    <n v="3"/>
    <n v="3"/>
    <n v="3"/>
    <n v="13499"/>
    <n v="13782"/>
    <n v="9"/>
    <n v="17"/>
    <x v="0"/>
    <n v="3"/>
    <n v="80"/>
    <n v="0"/>
    <n v="20"/>
    <n v="2"/>
    <n v="18"/>
    <n v="7"/>
    <n v="2"/>
    <n v="13"/>
  </r>
  <r>
    <s v="Yes"/>
    <s v="Travel_Frequently"/>
    <x v="0"/>
    <s v="Ex-Employees"/>
    <x v="0"/>
    <x v="0"/>
    <s v="STAFF-1167"/>
    <n v="1167"/>
    <x v="1"/>
    <x v="0"/>
    <x v="0"/>
    <s v="Yes"/>
    <s v="Y"/>
    <n v="2"/>
    <n v="-2"/>
    <n v="0"/>
    <n v="42"/>
    <n v="1"/>
    <n v="1"/>
    <n v="1"/>
    <n v="0"/>
    <n v="481"/>
    <n v="12"/>
    <x v="3"/>
    <n v="1"/>
    <n v="3"/>
    <n v="44"/>
    <n v="3"/>
    <n v="4"/>
    <n v="1"/>
    <n v="13758"/>
    <n v="2447"/>
    <n v="0"/>
    <n v="12"/>
    <x v="0"/>
    <n v="2"/>
    <n v="80"/>
    <n v="0"/>
    <n v="22"/>
    <n v="2"/>
    <n v="21"/>
    <n v="9"/>
    <n v="13"/>
    <n v="14"/>
  </r>
  <r>
    <s v="No"/>
    <s v="Travel_Rarely"/>
    <x v="0"/>
    <s v="Current Employees"/>
    <x v="0"/>
    <x v="3"/>
    <s v="STAFF-1171"/>
    <n v="1171"/>
    <x v="1"/>
    <x v="0"/>
    <x v="0"/>
    <s v="No"/>
    <s v="Y"/>
    <n v="3"/>
    <n v="-2"/>
    <n v="0"/>
    <n v="42"/>
    <n v="0"/>
    <m/>
    <n v="0"/>
    <n v="1"/>
    <n v="647"/>
    <n v="4"/>
    <x v="2"/>
    <n v="1"/>
    <n v="2"/>
    <n v="45"/>
    <n v="3"/>
    <n v="2"/>
    <n v="2"/>
    <n v="5155"/>
    <n v="2253"/>
    <n v="7"/>
    <n v="13"/>
    <x v="0"/>
    <n v="4"/>
    <n v="80"/>
    <n v="0"/>
    <n v="9"/>
    <n v="4"/>
    <n v="6"/>
    <n v="4"/>
    <n v="1"/>
    <n v="5"/>
  </r>
  <r>
    <s v="No"/>
    <s v="Travel_Rarely"/>
    <x v="0"/>
    <s v="Current Employees"/>
    <x v="1"/>
    <x v="2"/>
    <s v="STAFF-1172"/>
    <n v="1172"/>
    <x v="1"/>
    <x v="2"/>
    <x v="1"/>
    <s v="No"/>
    <s v="Y"/>
    <n v="2"/>
    <n v="-2"/>
    <n v="0"/>
    <n v="35"/>
    <n v="0"/>
    <m/>
    <n v="0"/>
    <n v="1"/>
    <n v="982"/>
    <n v="1"/>
    <x v="2"/>
    <n v="1"/>
    <n v="4"/>
    <n v="58"/>
    <n v="2"/>
    <n v="1"/>
    <n v="3"/>
    <n v="2258"/>
    <n v="16340"/>
    <n v="6"/>
    <n v="12"/>
    <x v="0"/>
    <n v="2"/>
    <n v="80"/>
    <n v="1"/>
    <n v="10"/>
    <n v="3"/>
    <n v="8"/>
    <n v="0"/>
    <n v="1"/>
    <n v="7"/>
  </r>
  <r>
    <s v="No"/>
    <s v="Travel_Rarely"/>
    <x v="4"/>
    <s v="Current Employees"/>
    <x v="1"/>
    <x v="2"/>
    <s v="STAFF-1173"/>
    <n v="1173"/>
    <x v="1"/>
    <x v="2"/>
    <x v="0"/>
    <s v="No"/>
    <s v="Y"/>
    <n v="2"/>
    <n v="-2"/>
    <n v="0"/>
    <n v="24"/>
    <n v="0"/>
    <m/>
    <n v="0"/>
    <n v="1"/>
    <n v="477"/>
    <n v="24"/>
    <x v="3"/>
    <n v="1"/>
    <n v="4"/>
    <n v="49"/>
    <n v="3"/>
    <n v="1"/>
    <n v="2"/>
    <n v="3597"/>
    <n v="6409"/>
    <n v="8"/>
    <n v="22"/>
    <x v="1"/>
    <n v="4"/>
    <n v="80"/>
    <n v="0"/>
    <n v="6"/>
    <n v="3"/>
    <n v="4"/>
    <n v="3"/>
    <n v="1"/>
    <n v="2"/>
  </r>
  <r>
    <s v="Yes"/>
    <s v="Travel_Rarely"/>
    <x v="2"/>
    <s v="Ex-Employees"/>
    <x v="1"/>
    <x v="0"/>
    <s v="STAFF-1175"/>
    <n v="1175"/>
    <x v="0"/>
    <x v="2"/>
    <x v="1"/>
    <s v="Yes"/>
    <s v="Y"/>
    <n v="4"/>
    <n v="-2"/>
    <n v="0"/>
    <n v="28"/>
    <n v="1"/>
    <n v="1"/>
    <n v="1"/>
    <n v="0"/>
    <n v="1485"/>
    <n v="12"/>
    <x v="1"/>
    <n v="1"/>
    <n v="3"/>
    <n v="79"/>
    <n v="3"/>
    <n v="1"/>
    <n v="1"/>
    <n v="2515"/>
    <n v="22955"/>
    <n v="1"/>
    <n v="11"/>
    <x v="0"/>
    <n v="4"/>
    <n v="80"/>
    <n v="0"/>
    <n v="1"/>
    <n v="2"/>
    <n v="1"/>
    <n v="1"/>
    <n v="0"/>
    <n v="0"/>
  </r>
  <r>
    <s v="No"/>
    <s v="Travel_Rarely"/>
    <x v="2"/>
    <s v="Current Employees"/>
    <x v="1"/>
    <x v="2"/>
    <s v="STAFF-1177"/>
    <n v="1177"/>
    <x v="1"/>
    <x v="2"/>
    <x v="1"/>
    <s v="No"/>
    <s v="Y"/>
    <n v="2"/>
    <n v="-2"/>
    <n v="0"/>
    <n v="26"/>
    <n v="0"/>
    <m/>
    <n v="0"/>
    <n v="1"/>
    <n v="1384"/>
    <n v="3"/>
    <x v="2"/>
    <n v="1"/>
    <n v="1"/>
    <n v="82"/>
    <n v="4"/>
    <n v="1"/>
    <n v="4"/>
    <n v="4420"/>
    <n v="13421"/>
    <n v="1"/>
    <n v="22"/>
    <x v="1"/>
    <n v="2"/>
    <n v="80"/>
    <n v="1"/>
    <n v="8"/>
    <n v="3"/>
    <n v="8"/>
    <n v="7"/>
    <n v="0"/>
    <n v="7"/>
  </r>
  <r>
    <s v="No"/>
    <s v="Travel_Rarely"/>
    <x v="2"/>
    <s v="Current Employees"/>
    <x v="0"/>
    <x v="3"/>
    <s v="STAFF-1179"/>
    <n v="1179"/>
    <x v="1"/>
    <x v="0"/>
    <x v="1"/>
    <s v="No"/>
    <s v="Y"/>
    <n v="3"/>
    <n v="-2"/>
    <n v="0"/>
    <n v="30"/>
    <n v="0"/>
    <m/>
    <n v="0"/>
    <n v="1"/>
    <n v="852"/>
    <n v="10"/>
    <x v="3"/>
    <n v="1"/>
    <n v="3"/>
    <n v="72"/>
    <n v="2"/>
    <n v="2"/>
    <n v="2"/>
    <n v="6578"/>
    <n v="2706"/>
    <n v="1"/>
    <n v="18"/>
    <x v="0"/>
    <n v="1"/>
    <n v="80"/>
    <n v="1"/>
    <n v="10"/>
    <n v="3"/>
    <n v="10"/>
    <n v="3"/>
    <n v="1"/>
    <n v="4"/>
  </r>
  <r>
    <s v="No"/>
    <s v="Travel_Frequently"/>
    <x v="0"/>
    <s v="Current Employees"/>
    <x v="1"/>
    <x v="2"/>
    <s v="STAFF-1180"/>
    <n v="1180"/>
    <x v="0"/>
    <x v="1"/>
    <x v="1"/>
    <s v="Yes"/>
    <s v="Y"/>
    <n v="3"/>
    <n v="-2"/>
    <n v="0"/>
    <n v="40"/>
    <n v="0"/>
    <m/>
    <n v="0"/>
    <n v="1"/>
    <n v="902"/>
    <n v="26"/>
    <x v="0"/>
    <n v="1"/>
    <n v="3"/>
    <n v="92"/>
    <n v="2"/>
    <n v="2"/>
    <n v="4"/>
    <n v="4422"/>
    <n v="21203"/>
    <n v="3"/>
    <n v="13"/>
    <x v="0"/>
    <n v="4"/>
    <n v="80"/>
    <n v="1"/>
    <n v="16"/>
    <n v="1"/>
    <n v="1"/>
    <n v="1"/>
    <n v="0"/>
    <n v="0"/>
  </r>
  <r>
    <s v="No"/>
    <s v="Travel_Rarely"/>
    <x v="0"/>
    <s v="Current Employees"/>
    <x v="1"/>
    <x v="0"/>
    <s v="STAFF-1182"/>
    <n v="1182"/>
    <x v="1"/>
    <x v="3"/>
    <x v="2"/>
    <s v="No"/>
    <s v="Y"/>
    <n v="2"/>
    <n v="-2"/>
    <n v="0"/>
    <n v="35"/>
    <n v="0"/>
    <m/>
    <n v="0"/>
    <n v="1"/>
    <n v="819"/>
    <n v="2"/>
    <x v="3"/>
    <n v="1"/>
    <n v="3"/>
    <n v="44"/>
    <n v="2"/>
    <n v="3"/>
    <n v="1"/>
    <n v="10274"/>
    <n v="19588"/>
    <n v="2"/>
    <n v="18"/>
    <x v="0"/>
    <n v="2"/>
    <n v="80"/>
    <n v="1"/>
    <n v="15"/>
    <n v="4"/>
    <n v="7"/>
    <n v="7"/>
    <n v="6"/>
    <n v="4"/>
  </r>
  <r>
    <s v="No"/>
    <s v="Travel_Frequently"/>
    <x v="2"/>
    <s v="Current Employees"/>
    <x v="1"/>
    <x v="2"/>
    <s v="STAFF-1184"/>
    <n v="1184"/>
    <x v="1"/>
    <x v="4"/>
    <x v="0"/>
    <s v="No"/>
    <s v="Y"/>
    <n v="3"/>
    <n v="-2"/>
    <n v="0"/>
    <n v="34"/>
    <n v="0"/>
    <m/>
    <n v="0"/>
    <n v="1"/>
    <n v="669"/>
    <n v="1"/>
    <x v="3"/>
    <n v="1"/>
    <n v="4"/>
    <n v="97"/>
    <n v="2"/>
    <n v="2"/>
    <n v="3"/>
    <n v="5343"/>
    <n v="25755"/>
    <n v="0"/>
    <n v="20"/>
    <x v="1"/>
    <n v="3"/>
    <n v="80"/>
    <n v="0"/>
    <n v="14"/>
    <n v="3"/>
    <n v="13"/>
    <n v="9"/>
    <n v="4"/>
    <n v="9"/>
  </r>
  <r>
    <s v="No"/>
    <s v="Travel_Frequently"/>
    <x v="0"/>
    <s v="Current Employees"/>
    <x v="1"/>
    <x v="1"/>
    <s v="STAFF-1185"/>
    <n v="1185"/>
    <x v="1"/>
    <x v="2"/>
    <x v="1"/>
    <s v="No"/>
    <s v="Y"/>
    <n v="2"/>
    <n v="-2"/>
    <n v="0"/>
    <n v="35"/>
    <n v="0"/>
    <m/>
    <n v="0"/>
    <n v="1"/>
    <n v="636"/>
    <n v="4"/>
    <x v="2"/>
    <n v="1"/>
    <n v="4"/>
    <n v="47"/>
    <n v="2"/>
    <n v="1"/>
    <n v="4"/>
    <n v="2376"/>
    <n v="26537"/>
    <n v="1"/>
    <n v="13"/>
    <x v="0"/>
    <n v="2"/>
    <n v="80"/>
    <n v="1"/>
    <n v="2"/>
    <n v="4"/>
    <n v="2"/>
    <n v="2"/>
    <n v="2"/>
    <n v="2"/>
  </r>
  <r>
    <s v="Yes"/>
    <s v="Travel_Rarely"/>
    <x v="0"/>
    <s v="Ex-Employees"/>
    <x v="0"/>
    <x v="3"/>
    <s v="STAFF-1188"/>
    <n v="1188"/>
    <x v="0"/>
    <x v="0"/>
    <x v="0"/>
    <s v="No"/>
    <s v="Y"/>
    <n v="2"/>
    <n v="-2"/>
    <n v="0"/>
    <n v="43"/>
    <n v="1"/>
    <n v="1"/>
    <n v="1"/>
    <n v="0"/>
    <n v="1372"/>
    <n v="9"/>
    <x v="3"/>
    <n v="1"/>
    <n v="1"/>
    <n v="85"/>
    <n v="1"/>
    <n v="2"/>
    <n v="2"/>
    <n v="5346"/>
    <n v="9489"/>
    <n v="8"/>
    <n v="13"/>
    <x v="0"/>
    <n v="2"/>
    <n v="80"/>
    <n v="0"/>
    <n v="7"/>
    <n v="2"/>
    <n v="4"/>
    <n v="3"/>
    <n v="1"/>
    <n v="3"/>
  </r>
  <r>
    <s v="No"/>
    <s v="Non-Travel"/>
    <x v="2"/>
    <s v="Current Employees"/>
    <x v="0"/>
    <x v="0"/>
    <s v="STAFF-1190"/>
    <n v="1190"/>
    <x v="0"/>
    <x v="6"/>
    <x v="2"/>
    <s v="No"/>
    <s v="Y"/>
    <n v="3"/>
    <n v="-2"/>
    <n v="0"/>
    <n v="32"/>
    <n v="0"/>
    <m/>
    <n v="0"/>
    <n v="1"/>
    <n v="862"/>
    <n v="2"/>
    <x v="1"/>
    <n v="1"/>
    <n v="3"/>
    <n v="76"/>
    <n v="3"/>
    <n v="1"/>
    <n v="1"/>
    <n v="2827"/>
    <n v="14947"/>
    <n v="1"/>
    <n v="12"/>
    <x v="0"/>
    <n v="3"/>
    <n v="80"/>
    <n v="3"/>
    <n v="1"/>
    <n v="3"/>
    <n v="1"/>
    <n v="0"/>
    <n v="0"/>
    <n v="0"/>
  </r>
  <r>
    <s v="No"/>
    <s v="Travel_Rarely"/>
    <x v="3"/>
    <s v="Current Employees"/>
    <x v="1"/>
    <x v="4"/>
    <s v="STAFF-1191"/>
    <n v="1191"/>
    <x v="0"/>
    <x v="5"/>
    <x v="2"/>
    <s v="No"/>
    <s v="Y"/>
    <n v="2"/>
    <n v="-2"/>
    <n v="0"/>
    <n v="56"/>
    <n v="0"/>
    <m/>
    <n v="0"/>
    <n v="1"/>
    <n v="718"/>
    <n v="4"/>
    <x v="2"/>
    <n v="1"/>
    <n v="4"/>
    <n v="92"/>
    <n v="3"/>
    <n v="5"/>
    <n v="4"/>
    <n v="19943"/>
    <n v="18575"/>
    <n v="4"/>
    <n v="13"/>
    <x v="0"/>
    <n v="4"/>
    <n v="80"/>
    <n v="1"/>
    <n v="28"/>
    <n v="3"/>
    <n v="5"/>
    <n v="2"/>
    <n v="4"/>
    <n v="2"/>
  </r>
  <r>
    <s v="No"/>
    <s v="Travel_Rarely"/>
    <x v="2"/>
    <s v="Current Employees"/>
    <x v="1"/>
    <x v="2"/>
    <s v="STAFF-1192"/>
    <n v="1192"/>
    <x v="0"/>
    <x v="2"/>
    <x v="1"/>
    <s v="No"/>
    <s v="Y"/>
    <n v="5"/>
    <n v="-2"/>
    <n v="0"/>
    <n v="29"/>
    <n v="0"/>
    <m/>
    <n v="0"/>
    <n v="1"/>
    <n v="1401"/>
    <n v="6"/>
    <x v="1"/>
    <n v="1"/>
    <n v="2"/>
    <n v="54"/>
    <n v="3"/>
    <n v="1"/>
    <n v="4"/>
    <n v="3131"/>
    <n v="26342"/>
    <n v="1"/>
    <n v="13"/>
    <x v="0"/>
    <n v="1"/>
    <n v="80"/>
    <n v="1"/>
    <n v="10"/>
    <n v="3"/>
    <n v="10"/>
    <n v="8"/>
    <n v="0"/>
    <n v="8"/>
  </r>
  <r>
    <s v="No"/>
    <s v="Travel_Rarely"/>
    <x v="4"/>
    <s v="Current Employees"/>
    <x v="1"/>
    <x v="0"/>
    <s v="STAFF-1193"/>
    <n v="1193"/>
    <x v="1"/>
    <x v="1"/>
    <x v="0"/>
    <s v="No"/>
    <s v="Y"/>
    <n v="4"/>
    <n v="-2"/>
    <n v="0"/>
    <n v="19"/>
    <n v="0"/>
    <m/>
    <n v="0"/>
    <n v="1"/>
    <n v="645"/>
    <n v="9"/>
    <x v="0"/>
    <n v="1"/>
    <n v="3"/>
    <n v="54"/>
    <n v="3"/>
    <n v="1"/>
    <n v="1"/>
    <n v="2552"/>
    <n v="7172"/>
    <n v="1"/>
    <n v="25"/>
    <x v="1"/>
    <n v="3"/>
    <n v="80"/>
    <n v="0"/>
    <n v="1"/>
    <n v="3"/>
    <n v="1"/>
    <n v="1"/>
    <n v="0"/>
    <n v="0"/>
  </r>
  <r>
    <s v="No"/>
    <s v="Travel_Rarely"/>
    <x v="1"/>
    <s v="Current Employees"/>
    <x v="1"/>
    <x v="2"/>
    <s v="STAFF-1195"/>
    <n v="1195"/>
    <x v="0"/>
    <x v="1"/>
    <x v="1"/>
    <s v="Yes"/>
    <s v="Y"/>
    <n v="2"/>
    <n v="-2"/>
    <n v="0"/>
    <n v="45"/>
    <n v="0"/>
    <m/>
    <n v="0"/>
    <n v="1"/>
    <n v="1457"/>
    <n v="7"/>
    <x v="3"/>
    <n v="1"/>
    <n v="1"/>
    <n v="83"/>
    <n v="3"/>
    <n v="1"/>
    <n v="3"/>
    <n v="4477"/>
    <n v="20100"/>
    <n v="4"/>
    <n v="19"/>
    <x v="0"/>
    <n v="3"/>
    <n v="80"/>
    <n v="1"/>
    <n v="7"/>
    <n v="2"/>
    <n v="3"/>
    <n v="2"/>
    <n v="0"/>
    <n v="2"/>
  </r>
  <r>
    <s v="No"/>
    <s v="Travel_Rarely"/>
    <x v="0"/>
    <s v="Current Employees"/>
    <x v="1"/>
    <x v="0"/>
    <s v="STAFF-1196"/>
    <n v="1196"/>
    <x v="0"/>
    <x v="3"/>
    <x v="1"/>
    <s v="No"/>
    <s v="Y"/>
    <n v="2"/>
    <n v="-2"/>
    <n v="0"/>
    <n v="37"/>
    <n v="0"/>
    <m/>
    <n v="0"/>
    <n v="1"/>
    <n v="977"/>
    <n v="1"/>
    <x v="3"/>
    <n v="1"/>
    <n v="4"/>
    <n v="56"/>
    <n v="2"/>
    <n v="2"/>
    <n v="1"/>
    <n v="6474"/>
    <n v="9961"/>
    <n v="1"/>
    <n v="13"/>
    <x v="0"/>
    <n v="2"/>
    <n v="80"/>
    <n v="1"/>
    <n v="14"/>
    <n v="2"/>
    <n v="14"/>
    <n v="8"/>
    <n v="3"/>
    <n v="11"/>
  </r>
  <r>
    <s v="No"/>
    <s v="Travel_Rarely"/>
    <x v="4"/>
    <s v="Current Employees"/>
    <x v="1"/>
    <x v="0"/>
    <s v="STAFF-1198"/>
    <n v="1198"/>
    <x v="1"/>
    <x v="2"/>
    <x v="0"/>
    <s v="No"/>
    <s v="Y"/>
    <n v="2"/>
    <n v="-2"/>
    <n v="0"/>
    <n v="20"/>
    <n v="0"/>
    <m/>
    <n v="0"/>
    <n v="1"/>
    <n v="805"/>
    <n v="3"/>
    <x v="3"/>
    <n v="1"/>
    <n v="1"/>
    <n v="87"/>
    <n v="2"/>
    <n v="1"/>
    <n v="1"/>
    <n v="3033"/>
    <n v="12828"/>
    <n v="1"/>
    <n v="12"/>
    <x v="0"/>
    <n v="1"/>
    <n v="80"/>
    <n v="0"/>
    <n v="2"/>
    <n v="2"/>
    <n v="2"/>
    <n v="2"/>
    <n v="1"/>
    <n v="2"/>
  </r>
  <r>
    <s v="Yes"/>
    <s v="Travel_Rarely"/>
    <x v="0"/>
    <s v="Ex-Employees"/>
    <x v="1"/>
    <x v="0"/>
    <s v="STAFF-1200"/>
    <n v="1200"/>
    <x v="1"/>
    <x v="1"/>
    <x v="0"/>
    <s v="Yes"/>
    <s v="Y"/>
    <n v="4"/>
    <n v="-2"/>
    <n v="0"/>
    <n v="44"/>
    <n v="1"/>
    <n v="1"/>
    <n v="1"/>
    <n v="0"/>
    <n v="1097"/>
    <n v="10"/>
    <x v="2"/>
    <n v="1"/>
    <n v="3"/>
    <n v="96"/>
    <n v="3"/>
    <n v="1"/>
    <n v="1"/>
    <n v="2936"/>
    <n v="10826"/>
    <n v="1"/>
    <n v="11"/>
    <x v="0"/>
    <n v="3"/>
    <n v="80"/>
    <n v="0"/>
    <n v="6"/>
    <n v="3"/>
    <n v="6"/>
    <n v="4"/>
    <n v="0"/>
    <n v="2"/>
  </r>
  <r>
    <s v="No"/>
    <s v="Travel_Rarely"/>
    <x v="1"/>
    <s v="Current Employees"/>
    <x v="1"/>
    <x v="2"/>
    <s v="STAFF-1201"/>
    <n v="1201"/>
    <x v="0"/>
    <x v="5"/>
    <x v="2"/>
    <s v="No"/>
    <s v="Y"/>
    <n v="6"/>
    <n v="-2"/>
    <n v="0"/>
    <n v="53"/>
    <n v="0"/>
    <m/>
    <n v="0"/>
    <n v="1"/>
    <n v="1223"/>
    <n v="7"/>
    <x v="0"/>
    <n v="1"/>
    <n v="4"/>
    <n v="50"/>
    <n v="3"/>
    <n v="5"/>
    <n v="3"/>
    <n v="18606"/>
    <n v="18640"/>
    <n v="3"/>
    <n v="18"/>
    <x v="0"/>
    <n v="2"/>
    <n v="80"/>
    <n v="1"/>
    <n v="26"/>
    <n v="3"/>
    <n v="7"/>
    <n v="7"/>
    <n v="4"/>
    <n v="7"/>
  </r>
  <r>
    <s v="No"/>
    <s v="Travel_Rarely"/>
    <x v="2"/>
    <s v="Current Employees"/>
    <x v="1"/>
    <x v="0"/>
    <s v="STAFF-1202"/>
    <n v="1202"/>
    <x v="0"/>
    <x v="1"/>
    <x v="1"/>
    <s v="Yes"/>
    <s v="Y"/>
    <n v="2"/>
    <n v="-2"/>
    <n v="0"/>
    <n v="29"/>
    <n v="0"/>
    <m/>
    <n v="0"/>
    <n v="1"/>
    <n v="942"/>
    <n v="15"/>
    <x v="1"/>
    <n v="1"/>
    <n v="2"/>
    <n v="69"/>
    <n v="1"/>
    <n v="1"/>
    <n v="1"/>
    <n v="2168"/>
    <n v="26933"/>
    <n v="0"/>
    <n v="18"/>
    <x v="0"/>
    <n v="1"/>
    <n v="80"/>
    <n v="1"/>
    <n v="6"/>
    <n v="2"/>
    <n v="5"/>
    <n v="4"/>
    <n v="1"/>
    <n v="3"/>
  </r>
  <r>
    <s v="Yes"/>
    <s v="Travel_Frequently"/>
    <x v="4"/>
    <s v="Ex-Employees"/>
    <x v="1"/>
    <x v="0"/>
    <s v="STAFF-1203"/>
    <n v="1203"/>
    <x v="1"/>
    <x v="1"/>
    <x v="1"/>
    <s v="Yes"/>
    <s v="Y"/>
    <n v="5"/>
    <n v="-2"/>
    <n v="0"/>
    <n v="22"/>
    <n v="1"/>
    <n v="1"/>
    <n v="1"/>
    <n v="0"/>
    <n v="1256"/>
    <n v="3"/>
    <x v="2"/>
    <n v="1"/>
    <n v="3"/>
    <n v="48"/>
    <n v="2"/>
    <n v="1"/>
    <n v="1"/>
    <n v="2853"/>
    <n v="4223"/>
    <n v="0"/>
    <n v="11"/>
    <x v="0"/>
    <n v="2"/>
    <n v="80"/>
    <n v="1"/>
    <n v="1"/>
    <n v="3"/>
    <n v="0"/>
    <n v="0"/>
    <n v="0"/>
    <n v="0"/>
  </r>
  <r>
    <s v="No"/>
    <s v="Travel_Rarely"/>
    <x v="1"/>
    <s v="Current Employees"/>
    <x v="0"/>
    <x v="3"/>
    <s v="STAFF-1204"/>
    <n v="1204"/>
    <x v="0"/>
    <x v="5"/>
    <x v="1"/>
    <s v="No"/>
    <s v="Y"/>
    <n v="2"/>
    <n v="-2"/>
    <n v="0"/>
    <n v="46"/>
    <n v="0"/>
    <m/>
    <n v="0"/>
    <n v="1"/>
    <n v="1402"/>
    <n v="2"/>
    <x v="3"/>
    <n v="1"/>
    <n v="3"/>
    <n v="69"/>
    <n v="3"/>
    <n v="4"/>
    <n v="2"/>
    <n v="17048"/>
    <n v="24097"/>
    <n v="8"/>
    <n v="23"/>
    <x v="1"/>
    <n v="1"/>
    <n v="80"/>
    <n v="0"/>
    <n v="28"/>
    <n v="3"/>
    <n v="26"/>
    <n v="15"/>
    <n v="15"/>
    <n v="9"/>
  </r>
  <r>
    <s v="No"/>
    <s v="Non-Travel"/>
    <x v="0"/>
    <s v="Current Employees"/>
    <x v="1"/>
    <x v="0"/>
    <s v="STAFF-1206"/>
    <n v="1206"/>
    <x v="1"/>
    <x v="1"/>
    <x v="0"/>
    <s v="No"/>
    <s v="Y"/>
    <n v="3"/>
    <n v="-2"/>
    <n v="0"/>
    <n v="44"/>
    <n v="0"/>
    <m/>
    <n v="0"/>
    <n v="1"/>
    <n v="111"/>
    <n v="17"/>
    <x v="3"/>
    <n v="1"/>
    <n v="4"/>
    <n v="74"/>
    <n v="1"/>
    <n v="1"/>
    <n v="1"/>
    <n v="2290"/>
    <n v="4279"/>
    <n v="2"/>
    <n v="13"/>
    <x v="0"/>
    <n v="4"/>
    <n v="80"/>
    <n v="0"/>
    <n v="6"/>
    <n v="3"/>
    <n v="0"/>
    <n v="0"/>
    <n v="0"/>
    <n v="0"/>
  </r>
  <r>
    <s v="No"/>
    <s v="Travel_Rarely"/>
    <x v="2"/>
    <s v="Current Employees"/>
    <x v="2"/>
    <x v="5"/>
    <s v="STAFF-1207"/>
    <n v="1207"/>
    <x v="1"/>
    <x v="8"/>
    <x v="1"/>
    <s v="No"/>
    <s v="Y"/>
    <n v="2"/>
    <n v="-2"/>
    <n v="0"/>
    <n v="33"/>
    <n v="0"/>
    <m/>
    <n v="0"/>
    <n v="1"/>
    <n v="147"/>
    <n v="2"/>
    <x v="3"/>
    <n v="1"/>
    <n v="2"/>
    <n v="99"/>
    <n v="3"/>
    <n v="1"/>
    <n v="3"/>
    <n v="3600"/>
    <n v="8429"/>
    <n v="1"/>
    <n v="13"/>
    <x v="0"/>
    <n v="4"/>
    <n v="80"/>
    <n v="1"/>
    <n v="5"/>
    <n v="3"/>
    <n v="5"/>
    <n v="4"/>
    <n v="1"/>
    <n v="4"/>
  </r>
  <r>
    <s v="Yes"/>
    <s v="Non-Travel"/>
    <x v="0"/>
    <s v="Ex-Employees"/>
    <x v="1"/>
    <x v="0"/>
    <s v="STAFF-1210"/>
    <n v="1210"/>
    <x v="1"/>
    <x v="1"/>
    <x v="2"/>
    <s v="No"/>
    <s v="Y"/>
    <n v="2"/>
    <n v="-2"/>
    <n v="0"/>
    <n v="41"/>
    <n v="1"/>
    <n v="1"/>
    <n v="1"/>
    <n v="0"/>
    <n v="906"/>
    <n v="5"/>
    <x v="0"/>
    <n v="1"/>
    <n v="1"/>
    <n v="95"/>
    <n v="2"/>
    <n v="1"/>
    <n v="1"/>
    <n v="2107"/>
    <n v="20293"/>
    <n v="6"/>
    <n v="17"/>
    <x v="0"/>
    <n v="1"/>
    <n v="80"/>
    <n v="1"/>
    <n v="5"/>
    <n v="1"/>
    <n v="1"/>
    <n v="0"/>
    <n v="0"/>
    <n v="0"/>
  </r>
  <r>
    <s v="No"/>
    <s v="Travel_Rarely"/>
    <x v="2"/>
    <s v="Current Employees"/>
    <x v="0"/>
    <x v="0"/>
    <s v="STAFF-1211"/>
    <n v="1211"/>
    <x v="1"/>
    <x v="0"/>
    <x v="2"/>
    <s v="No"/>
    <s v="Y"/>
    <n v="3"/>
    <n v="-2"/>
    <n v="0"/>
    <n v="30"/>
    <n v="0"/>
    <m/>
    <n v="0"/>
    <n v="1"/>
    <n v="1329"/>
    <n v="29"/>
    <x v="2"/>
    <n v="1"/>
    <n v="3"/>
    <n v="61"/>
    <n v="3"/>
    <n v="2"/>
    <n v="1"/>
    <n v="4115"/>
    <n v="13192"/>
    <n v="8"/>
    <n v="19"/>
    <x v="0"/>
    <n v="3"/>
    <n v="80"/>
    <n v="3"/>
    <n v="8"/>
    <n v="3"/>
    <n v="4"/>
    <n v="3"/>
    <n v="0"/>
    <n v="3"/>
  </r>
  <r>
    <s v="No"/>
    <s v="Travel_Frequently"/>
    <x v="0"/>
    <s v="Current Employees"/>
    <x v="0"/>
    <x v="2"/>
    <s v="STAFF-1212"/>
    <n v="1212"/>
    <x v="1"/>
    <x v="0"/>
    <x v="1"/>
    <s v="No"/>
    <s v="Y"/>
    <n v="2"/>
    <n v="-2"/>
    <n v="0"/>
    <n v="40"/>
    <n v="0"/>
    <m/>
    <n v="0"/>
    <n v="1"/>
    <n v="1184"/>
    <n v="2"/>
    <x v="2"/>
    <n v="1"/>
    <n v="2"/>
    <n v="62"/>
    <n v="3"/>
    <n v="2"/>
    <n v="2"/>
    <n v="4327"/>
    <n v="25440"/>
    <n v="5"/>
    <n v="12"/>
    <x v="0"/>
    <n v="4"/>
    <n v="80"/>
    <n v="3"/>
    <n v="5"/>
    <n v="3"/>
    <n v="0"/>
    <n v="0"/>
    <n v="0"/>
    <n v="0"/>
  </r>
  <r>
    <s v="No"/>
    <s v="Travel_Frequently"/>
    <x v="1"/>
    <s v="Current Employees"/>
    <x v="1"/>
    <x v="2"/>
    <s v="STAFF-1215"/>
    <n v="1215"/>
    <x v="0"/>
    <x v="5"/>
    <x v="1"/>
    <s v="No"/>
    <s v="Y"/>
    <n v="3"/>
    <n v="-2"/>
    <n v="0"/>
    <n v="50"/>
    <n v="0"/>
    <m/>
    <n v="0"/>
    <n v="1"/>
    <n v="1421"/>
    <n v="2"/>
    <x v="3"/>
    <n v="1"/>
    <n v="4"/>
    <n v="30"/>
    <n v="3"/>
    <n v="4"/>
    <n v="3"/>
    <n v="17856"/>
    <n v="9490"/>
    <n v="2"/>
    <n v="22"/>
    <x v="1"/>
    <n v="3"/>
    <n v="80"/>
    <n v="1"/>
    <n v="32"/>
    <n v="3"/>
    <n v="2"/>
    <n v="2"/>
    <n v="2"/>
    <n v="2"/>
  </r>
  <r>
    <s v="No"/>
    <s v="Travel_Rarely"/>
    <x v="2"/>
    <s v="Current Employees"/>
    <x v="1"/>
    <x v="2"/>
    <s v="STAFF-1216"/>
    <n v="1216"/>
    <x v="1"/>
    <x v="2"/>
    <x v="1"/>
    <s v="No"/>
    <s v="Y"/>
    <n v="2"/>
    <n v="-2"/>
    <n v="0"/>
    <n v="28"/>
    <n v="0"/>
    <m/>
    <n v="0"/>
    <n v="1"/>
    <n v="1179"/>
    <n v="19"/>
    <x v="2"/>
    <n v="1"/>
    <n v="4"/>
    <n v="78"/>
    <n v="2"/>
    <n v="1"/>
    <n v="3"/>
    <n v="3196"/>
    <n v="12449"/>
    <n v="1"/>
    <n v="12"/>
    <x v="0"/>
    <n v="3"/>
    <n v="80"/>
    <n v="3"/>
    <n v="6"/>
    <n v="3"/>
    <n v="6"/>
    <n v="5"/>
    <n v="3"/>
    <n v="3"/>
  </r>
  <r>
    <s v="No"/>
    <s v="Travel_Rarely"/>
    <x v="1"/>
    <s v="Current Employees"/>
    <x v="1"/>
    <x v="0"/>
    <s v="STAFF-1217"/>
    <n v="1217"/>
    <x v="1"/>
    <x v="7"/>
    <x v="1"/>
    <s v="No"/>
    <s v="Y"/>
    <n v="2"/>
    <n v="-2"/>
    <n v="0"/>
    <n v="46"/>
    <n v="0"/>
    <m/>
    <n v="0"/>
    <n v="1"/>
    <n v="1450"/>
    <n v="15"/>
    <x v="0"/>
    <n v="1"/>
    <n v="4"/>
    <n v="52"/>
    <n v="3"/>
    <n v="5"/>
    <n v="1"/>
    <n v="19081"/>
    <n v="10849"/>
    <n v="5"/>
    <n v="11"/>
    <x v="0"/>
    <n v="1"/>
    <n v="80"/>
    <n v="1"/>
    <n v="25"/>
    <n v="3"/>
    <n v="4"/>
    <n v="2"/>
    <n v="0"/>
    <n v="3"/>
  </r>
  <r>
    <s v="No"/>
    <s v="Travel_Rarely"/>
    <x v="0"/>
    <s v="Current Employees"/>
    <x v="0"/>
    <x v="0"/>
    <s v="STAFF-1218"/>
    <n v="1218"/>
    <x v="1"/>
    <x v="0"/>
    <x v="1"/>
    <s v="Yes"/>
    <s v="Y"/>
    <n v="2"/>
    <n v="-2"/>
    <n v="0"/>
    <n v="35"/>
    <n v="0"/>
    <m/>
    <n v="0"/>
    <n v="1"/>
    <n v="1361"/>
    <n v="17"/>
    <x v="2"/>
    <n v="1"/>
    <n v="3"/>
    <n v="94"/>
    <n v="3"/>
    <n v="2"/>
    <n v="1"/>
    <n v="8966"/>
    <n v="21026"/>
    <n v="3"/>
    <n v="15"/>
    <x v="0"/>
    <n v="4"/>
    <n v="80"/>
    <n v="3"/>
    <n v="15"/>
    <n v="3"/>
    <n v="7"/>
    <n v="7"/>
    <n v="1"/>
    <n v="7"/>
  </r>
  <r>
    <s v="Yes"/>
    <s v="Travel_Rarely"/>
    <x v="4"/>
    <s v="Ex-Employees"/>
    <x v="1"/>
    <x v="0"/>
    <s v="STAFF-1219"/>
    <n v="1219"/>
    <x v="0"/>
    <x v="2"/>
    <x v="1"/>
    <s v="No"/>
    <s v="Y"/>
    <n v="3"/>
    <n v="-2"/>
    <n v="0"/>
    <n v="24"/>
    <n v="1"/>
    <n v="1"/>
    <n v="1"/>
    <n v="0"/>
    <n v="984"/>
    <n v="17"/>
    <x v="0"/>
    <n v="1"/>
    <n v="4"/>
    <n v="97"/>
    <n v="3"/>
    <n v="1"/>
    <n v="1"/>
    <n v="2210"/>
    <n v="3372"/>
    <n v="1"/>
    <n v="13"/>
    <x v="0"/>
    <n v="1"/>
    <n v="80"/>
    <n v="1"/>
    <n v="1"/>
    <n v="1"/>
    <n v="1"/>
    <n v="0"/>
    <n v="0"/>
    <n v="0"/>
  </r>
  <r>
    <s v="No"/>
    <s v="Travel_Frequently"/>
    <x v="2"/>
    <s v="Current Employees"/>
    <x v="0"/>
    <x v="2"/>
    <s v="STAFF-1220"/>
    <n v="1220"/>
    <x v="0"/>
    <x v="0"/>
    <x v="1"/>
    <s v="No"/>
    <s v="Y"/>
    <n v="3"/>
    <n v="-2"/>
    <n v="0"/>
    <n v="33"/>
    <n v="0"/>
    <m/>
    <n v="0"/>
    <n v="1"/>
    <n v="1146"/>
    <n v="25"/>
    <x v="3"/>
    <n v="1"/>
    <n v="2"/>
    <n v="82"/>
    <n v="3"/>
    <n v="2"/>
    <n v="3"/>
    <n v="4539"/>
    <n v="4905"/>
    <n v="1"/>
    <n v="12"/>
    <x v="0"/>
    <n v="1"/>
    <n v="80"/>
    <n v="1"/>
    <n v="10"/>
    <n v="2"/>
    <n v="10"/>
    <n v="7"/>
    <n v="0"/>
    <n v="1"/>
  </r>
  <r>
    <s v="No"/>
    <s v="Travel_Rarely"/>
    <x v="0"/>
    <s v="Current Employees"/>
    <x v="1"/>
    <x v="0"/>
    <s v="STAFF-1221"/>
    <n v="1221"/>
    <x v="1"/>
    <x v="2"/>
    <x v="2"/>
    <s v="No"/>
    <s v="Y"/>
    <n v="4"/>
    <n v="-2"/>
    <n v="0"/>
    <n v="36"/>
    <n v="0"/>
    <m/>
    <n v="0"/>
    <n v="1"/>
    <n v="917"/>
    <n v="6"/>
    <x v="2"/>
    <n v="1"/>
    <n v="3"/>
    <n v="60"/>
    <n v="1"/>
    <n v="1"/>
    <n v="1"/>
    <n v="2741"/>
    <n v="6865"/>
    <n v="1"/>
    <n v="14"/>
    <x v="0"/>
    <n v="3"/>
    <n v="80"/>
    <n v="1"/>
    <n v="7"/>
    <n v="3"/>
    <n v="7"/>
    <n v="7"/>
    <n v="1"/>
    <n v="7"/>
  </r>
  <r>
    <s v="No"/>
    <s v="Travel_Rarely"/>
    <x v="2"/>
    <s v="Current Employees"/>
    <x v="1"/>
    <x v="0"/>
    <s v="STAFF-1224"/>
    <n v="1224"/>
    <x v="1"/>
    <x v="2"/>
    <x v="2"/>
    <s v="No"/>
    <s v="Y"/>
    <n v="4"/>
    <n v="-2"/>
    <n v="0"/>
    <n v="30"/>
    <n v="0"/>
    <m/>
    <n v="0"/>
    <n v="1"/>
    <n v="853"/>
    <n v="7"/>
    <x v="2"/>
    <n v="1"/>
    <n v="3"/>
    <n v="49"/>
    <n v="3"/>
    <n v="2"/>
    <n v="1"/>
    <n v="3491"/>
    <n v="11309"/>
    <n v="1"/>
    <n v="13"/>
    <x v="0"/>
    <n v="1"/>
    <n v="80"/>
    <n v="3"/>
    <n v="10"/>
    <n v="2"/>
    <n v="10"/>
    <n v="7"/>
    <n v="8"/>
    <n v="9"/>
  </r>
  <r>
    <s v="No"/>
    <s v="Travel_Rarely"/>
    <x v="0"/>
    <s v="Current Employees"/>
    <x v="1"/>
    <x v="1"/>
    <s v="STAFF-1225"/>
    <n v="1225"/>
    <x v="1"/>
    <x v="1"/>
    <x v="0"/>
    <s v="No"/>
    <s v="Y"/>
    <n v="3"/>
    <n v="-2"/>
    <n v="0"/>
    <n v="44"/>
    <n v="0"/>
    <m/>
    <n v="0"/>
    <n v="1"/>
    <n v="200"/>
    <n v="29"/>
    <x v="2"/>
    <n v="1"/>
    <n v="4"/>
    <n v="32"/>
    <n v="3"/>
    <n v="2"/>
    <n v="4"/>
    <n v="4541"/>
    <n v="7744"/>
    <n v="1"/>
    <n v="25"/>
    <x v="1"/>
    <n v="2"/>
    <n v="80"/>
    <n v="0"/>
    <n v="20"/>
    <n v="3"/>
    <n v="20"/>
    <n v="11"/>
    <n v="13"/>
    <n v="17"/>
  </r>
  <r>
    <s v="No"/>
    <s v="Travel_Rarely"/>
    <x v="4"/>
    <s v="Current Employees"/>
    <x v="0"/>
    <x v="3"/>
    <s v="STAFF-1226"/>
    <n v="1226"/>
    <x v="1"/>
    <x v="6"/>
    <x v="0"/>
    <s v="No"/>
    <s v="Y"/>
    <n v="2"/>
    <n v="-2"/>
    <n v="0"/>
    <n v="20"/>
    <n v="0"/>
    <m/>
    <n v="0"/>
    <n v="1"/>
    <n v="654"/>
    <n v="21"/>
    <x v="3"/>
    <n v="1"/>
    <n v="3"/>
    <n v="43"/>
    <n v="4"/>
    <n v="1"/>
    <n v="2"/>
    <n v="2678"/>
    <n v="5050"/>
    <n v="1"/>
    <n v="17"/>
    <x v="0"/>
    <n v="4"/>
    <n v="80"/>
    <n v="0"/>
    <n v="2"/>
    <n v="3"/>
    <n v="2"/>
    <n v="1"/>
    <n v="2"/>
    <n v="2"/>
  </r>
  <r>
    <s v="No"/>
    <s v="Travel_Rarely"/>
    <x v="1"/>
    <s v="Current Employees"/>
    <x v="1"/>
    <x v="4"/>
    <s v="STAFF-1228"/>
    <n v="1228"/>
    <x v="1"/>
    <x v="3"/>
    <x v="2"/>
    <s v="No"/>
    <s v="Y"/>
    <n v="3"/>
    <n v="-2"/>
    <n v="0"/>
    <n v="46"/>
    <n v="0"/>
    <m/>
    <n v="0"/>
    <n v="1"/>
    <n v="150"/>
    <n v="2"/>
    <x v="2"/>
    <n v="1"/>
    <n v="4"/>
    <n v="60"/>
    <n v="3"/>
    <n v="2"/>
    <n v="4"/>
    <n v="7379"/>
    <n v="17433"/>
    <n v="2"/>
    <n v="11"/>
    <x v="0"/>
    <n v="3"/>
    <n v="80"/>
    <n v="1"/>
    <n v="12"/>
    <n v="2"/>
    <n v="6"/>
    <n v="3"/>
    <n v="1"/>
    <n v="4"/>
  </r>
  <r>
    <s v="No"/>
    <s v="Non-Travel"/>
    <x v="0"/>
    <s v="Current Employees"/>
    <x v="2"/>
    <x v="2"/>
    <s v="STAFF-1231"/>
    <n v="1231"/>
    <x v="1"/>
    <x v="8"/>
    <x v="1"/>
    <s v="No"/>
    <s v="Y"/>
    <n v="3"/>
    <n v="-2"/>
    <n v="0"/>
    <n v="42"/>
    <n v="0"/>
    <m/>
    <n v="0"/>
    <n v="1"/>
    <n v="179"/>
    <n v="2"/>
    <x v="4"/>
    <n v="1"/>
    <n v="4"/>
    <n v="79"/>
    <n v="4"/>
    <n v="2"/>
    <n v="3"/>
    <n v="6272"/>
    <n v="12858"/>
    <n v="7"/>
    <n v="16"/>
    <x v="0"/>
    <n v="1"/>
    <n v="80"/>
    <n v="1"/>
    <n v="10"/>
    <n v="4"/>
    <n v="4"/>
    <n v="3"/>
    <n v="0"/>
    <n v="3"/>
  </r>
  <r>
    <s v="No"/>
    <s v="Travel_Rarely"/>
    <x v="3"/>
    <s v="Current Employees"/>
    <x v="0"/>
    <x v="3"/>
    <s v="STAFF-1233"/>
    <n v="1233"/>
    <x v="1"/>
    <x v="0"/>
    <x v="2"/>
    <s v="Yes"/>
    <s v="Y"/>
    <n v="3"/>
    <n v="-2"/>
    <n v="0"/>
    <n v="60"/>
    <n v="0"/>
    <m/>
    <n v="0"/>
    <n v="1"/>
    <n v="696"/>
    <n v="7"/>
    <x v="2"/>
    <n v="1"/>
    <n v="2"/>
    <n v="52"/>
    <n v="4"/>
    <n v="2"/>
    <n v="2"/>
    <n v="5220"/>
    <n v="10893"/>
    <n v="0"/>
    <n v="18"/>
    <x v="0"/>
    <n v="2"/>
    <n v="80"/>
    <n v="1"/>
    <n v="12"/>
    <n v="3"/>
    <n v="11"/>
    <n v="7"/>
    <n v="1"/>
    <n v="9"/>
  </r>
  <r>
    <s v="No"/>
    <s v="Travel_Frequently"/>
    <x v="2"/>
    <s v="Current Employees"/>
    <x v="1"/>
    <x v="1"/>
    <s v="STAFF-1234"/>
    <n v="1234"/>
    <x v="0"/>
    <x v="2"/>
    <x v="1"/>
    <s v="No"/>
    <s v="Y"/>
    <n v="2"/>
    <n v="-2"/>
    <n v="0"/>
    <n v="32"/>
    <n v="0"/>
    <m/>
    <n v="0"/>
    <n v="1"/>
    <n v="116"/>
    <n v="13"/>
    <x v="3"/>
    <n v="1"/>
    <n v="3"/>
    <n v="77"/>
    <n v="2"/>
    <n v="1"/>
    <n v="2"/>
    <n v="2743"/>
    <n v="7331"/>
    <n v="1"/>
    <n v="20"/>
    <x v="1"/>
    <n v="3"/>
    <n v="80"/>
    <n v="1"/>
    <n v="2"/>
    <n v="3"/>
    <n v="2"/>
    <n v="2"/>
    <n v="2"/>
    <n v="2"/>
  </r>
  <r>
    <s v="No"/>
    <s v="Travel_Frequently"/>
    <x v="2"/>
    <s v="Current Employees"/>
    <x v="1"/>
    <x v="0"/>
    <s v="STAFF-1235"/>
    <n v="1235"/>
    <x v="0"/>
    <x v="1"/>
    <x v="0"/>
    <s v="Yes"/>
    <s v="Y"/>
    <n v="2"/>
    <n v="-2"/>
    <n v="0"/>
    <n v="32"/>
    <n v="0"/>
    <m/>
    <n v="0"/>
    <n v="1"/>
    <n v="1316"/>
    <n v="2"/>
    <x v="0"/>
    <n v="1"/>
    <n v="4"/>
    <n v="38"/>
    <n v="3"/>
    <n v="2"/>
    <n v="1"/>
    <n v="4998"/>
    <n v="2338"/>
    <n v="4"/>
    <n v="14"/>
    <x v="0"/>
    <n v="4"/>
    <n v="80"/>
    <n v="0"/>
    <n v="10"/>
    <n v="3"/>
    <n v="8"/>
    <n v="7"/>
    <n v="0"/>
    <n v="7"/>
  </r>
  <r>
    <s v="No"/>
    <s v="Travel_Rarely"/>
    <x v="0"/>
    <s v="Current Employees"/>
    <x v="1"/>
    <x v="4"/>
    <s v="STAFF-1237"/>
    <n v="1237"/>
    <x v="0"/>
    <x v="3"/>
    <x v="2"/>
    <s v="Yes"/>
    <s v="Y"/>
    <n v="2"/>
    <n v="-2"/>
    <n v="0"/>
    <n v="36"/>
    <n v="0"/>
    <m/>
    <n v="0"/>
    <n v="1"/>
    <n v="363"/>
    <n v="1"/>
    <x v="3"/>
    <n v="1"/>
    <n v="4"/>
    <n v="77"/>
    <n v="1"/>
    <n v="3"/>
    <n v="4"/>
    <n v="10252"/>
    <n v="4235"/>
    <n v="2"/>
    <n v="21"/>
    <x v="1"/>
    <n v="3"/>
    <n v="80"/>
    <n v="1"/>
    <n v="17"/>
    <n v="3"/>
    <n v="7"/>
    <n v="7"/>
    <n v="7"/>
    <n v="7"/>
  </r>
  <r>
    <s v="No"/>
    <s v="Travel_Rarely"/>
    <x v="2"/>
    <s v="Current Employees"/>
    <x v="1"/>
    <x v="2"/>
    <s v="STAFF-1238"/>
    <n v="1238"/>
    <x v="1"/>
    <x v="1"/>
    <x v="1"/>
    <s v="No"/>
    <s v="Y"/>
    <n v="5"/>
    <n v="-2"/>
    <n v="0"/>
    <n v="33"/>
    <n v="0"/>
    <m/>
    <n v="0"/>
    <n v="1"/>
    <n v="117"/>
    <n v="9"/>
    <x v="3"/>
    <n v="1"/>
    <n v="1"/>
    <n v="60"/>
    <n v="3"/>
    <n v="1"/>
    <n v="4"/>
    <n v="2781"/>
    <n v="6311"/>
    <n v="0"/>
    <n v="13"/>
    <x v="0"/>
    <n v="2"/>
    <n v="80"/>
    <n v="1"/>
    <n v="15"/>
    <n v="3"/>
    <n v="14"/>
    <n v="10"/>
    <n v="4"/>
    <n v="10"/>
  </r>
  <r>
    <s v="No"/>
    <s v="Travel_Rarely"/>
    <x v="0"/>
    <s v="Current Employees"/>
    <x v="0"/>
    <x v="4"/>
    <s v="STAFF-1239"/>
    <n v="1239"/>
    <x v="0"/>
    <x v="0"/>
    <x v="2"/>
    <s v="No"/>
    <s v="Y"/>
    <n v="2"/>
    <n v="-2"/>
    <n v="0"/>
    <n v="40"/>
    <n v="0"/>
    <m/>
    <n v="0"/>
    <n v="1"/>
    <n v="107"/>
    <n v="10"/>
    <x v="3"/>
    <n v="1"/>
    <n v="4"/>
    <n v="84"/>
    <n v="2"/>
    <n v="2"/>
    <n v="4"/>
    <n v="6852"/>
    <n v="11591"/>
    <n v="7"/>
    <n v="12"/>
    <x v="0"/>
    <n v="2"/>
    <n v="80"/>
    <n v="1"/>
    <n v="7"/>
    <n v="4"/>
    <n v="5"/>
    <n v="1"/>
    <n v="1"/>
    <n v="3"/>
  </r>
  <r>
    <s v="No"/>
    <s v="Travel_Rarely"/>
    <x v="2"/>
    <s v="Current Employees"/>
    <x v="0"/>
    <x v="0"/>
    <s v="STAFF-1240"/>
    <n v="1240"/>
    <x v="1"/>
    <x v="0"/>
    <x v="0"/>
    <s v="No"/>
    <s v="Y"/>
    <n v="4"/>
    <n v="-2"/>
    <n v="0"/>
    <n v="25"/>
    <n v="0"/>
    <m/>
    <n v="0"/>
    <n v="1"/>
    <n v="1356"/>
    <n v="10"/>
    <x v="2"/>
    <n v="1"/>
    <n v="3"/>
    <n v="57"/>
    <n v="3"/>
    <n v="2"/>
    <n v="1"/>
    <n v="4950"/>
    <n v="20623"/>
    <n v="0"/>
    <n v="14"/>
    <x v="0"/>
    <n v="2"/>
    <n v="80"/>
    <n v="0"/>
    <n v="5"/>
    <n v="3"/>
    <n v="4"/>
    <n v="3"/>
    <n v="1"/>
    <n v="1"/>
  </r>
  <r>
    <s v="No"/>
    <s v="Travel_Rarely"/>
    <x v="2"/>
    <s v="Current Employees"/>
    <x v="1"/>
    <x v="2"/>
    <s v="STAFF-1241"/>
    <n v="1241"/>
    <x v="1"/>
    <x v="1"/>
    <x v="1"/>
    <s v="Yes"/>
    <s v="Y"/>
    <n v="2"/>
    <n v="-2"/>
    <n v="0"/>
    <n v="30"/>
    <n v="0"/>
    <m/>
    <n v="0"/>
    <n v="1"/>
    <n v="1465"/>
    <n v="1"/>
    <x v="3"/>
    <n v="1"/>
    <n v="4"/>
    <n v="63"/>
    <n v="3"/>
    <n v="1"/>
    <n v="2"/>
    <n v="3579"/>
    <n v="9369"/>
    <n v="0"/>
    <n v="21"/>
    <x v="1"/>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x v="0"/>
    <n v="3"/>
    <n v="80"/>
    <n v="0"/>
    <n v="20"/>
    <n v="3"/>
    <n v="1"/>
    <n v="0"/>
    <n v="0"/>
    <n v="0"/>
  </r>
  <r>
    <s v="No"/>
    <s v="Non-Travel"/>
    <x v="0"/>
    <s v="Current Employees"/>
    <x v="0"/>
    <x v="3"/>
    <s v="STAFF-1243"/>
    <n v="1243"/>
    <x v="0"/>
    <x v="0"/>
    <x v="1"/>
    <s v="Yes"/>
    <s v="Y"/>
    <n v="6"/>
    <n v="-2"/>
    <n v="0"/>
    <n v="35"/>
    <n v="0"/>
    <m/>
    <n v="0"/>
    <n v="1"/>
    <n v="1212"/>
    <n v="8"/>
    <x v="0"/>
    <n v="1"/>
    <n v="3"/>
    <n v="78"/>
    <n v="2"/>
    <n v="3"/>
    <n v="2"/>
    <n v="10377"/>
    <n v="13755"/>
    <n v="4"/>
    <n v="11"/>
    <x v="0"/>
    <n v="2"/>
    <n v="80"/>
    <n v="1"/>
    <n v="16"/>
    <n v="2"/>
    <n v="13"/>
    <n v="2"/>
    <n v="4"/>
    <n v="12"/>
  </r>
  <r>
    <s v="No"/>
    <s v="Travel_Rarely"/>
    <x v="2"/>
    <s v="Current Employees"/>
    <x v="1"/>
    <x v="0"/>
    <s v="STAFF-1244"/>
    <n v="1244"/>
    <x v="1"/>
    <x v="1"/>
    <x v="1"/>
    <s v="Yes"/>
    <s v="Y"/>
    <n v="3"/>
    <n v="-2"/>
    <n v="0"/>
    <n v="27"/>
    <n v="0"/>
    <m/>
    <n v="0"/>
    <n v="1"/>
    <n v="1103"/>
    <n v="14"/>
    <x v="3"/>
    <n v="1"/>
    <n v="1"/>
    <n v="42"/>
    <n v="3"/>
    <n v="1"/>
    <n v="1"/>
    <n v="2235"/>
    <n v="14377"/>
    <n v="1"/>
    <n v="14"/>
    <x v="0"/>
    <n v="4"/>
    <n v="80"/>
    <n v="2"/>
    <n v="9"/>
    <n v="2"/>
    <n v="9"/>
    <n v="7"/>
    <n v="6"/>
    <n v="8"/>
  </r>
  <r>
    <s v="No"/>
    <s v="Travel_Frequently"/>
    <x v="1"/>
    <s v="Current Employees"/>
    <x v="1"/>
    <x v="0"/>
    <s v="STAFF-1245"/>
    <n v="1245"/>
    <x v="0"/>
    <x v="3"/>
    <x v="2"/>
    <s v="No"/>
    <s v="Y"/>
    <n v="2"/>
    <n v="-2"/>
    <n v="0"/>
    <n v="54"/>
    <n v="0"/>
    <m/>
    <n v="0"/>
    <n v="1"/>
    <n v="966"/>
    <n v="1"/>
    <x v="2"/>
    <n v="1"/>
    <n v="4"/>
    <n v="53"/>
    <n v="3"/>
    <n v="3"/>
    <n v="1"/>
    <n v="10502"/>
    <n v="9659"/>
    <n v="7"/>
    <n v="17"/>
    <x v="0"/>
    <n v="1"/>
    <n v="80"/>
    <n v="1"/>
    <n v="33"/>
    <n v="1"/>
    <n v="5"/>
    <n v="4"/>
    <n v="1"/>
    <n v="4"/>
  </r>
  <r>
    <s v="No"/>
    <s v="Travel_Rarely"/>
    <x v="0"/>
    <s v="Current Employees"/>
    <x v="1"/>
    <x v="0"/>
    <s v="STAFF-1246"/>
    <n v="1246"/>
    <x v="0"/>
    <x v="1"/>
    <x v="1"/>
    <s v="No"/>
    <s v="Y"/>
    <n v="5"/>
    <n v="-2"/>
    <n v="0"/>
    <n v="44"/>
    <n v="0"/>
    <m/>
    <n v="0"/>
    <n v="1"/>
    <n v="1117"/>
    <n v="2"/>
    <x v="1"/>
    <n v="1"/>
    <n v="1"/>
    <n v="72"/>
    <n v="4"/>
    <n v="1"/>
    <n v="1"/>
    <n v="2011"/>
    <n v="19982"/>
    <n v="1"/>
    <n v="13"/>
    <x v="0"/>
    <n v="4"/>
    <n v="80"/>
    <n v="1"/>
    <n v="10"/>
    <n v="3"/>
    <n v="10"/>
    <n v="5"/>
    <n v="7"/>
    <n v="7"/>
  </r>
  <r>
    <s v="Yes"/>
    <s v="Non-Travel"/>
    <x v="4"/>
    <s v="Ex-Employees"/>
    <x v="1"/>
    <x v="2"/>
    <s v="STAFF-1248"/>
    <n v="1248"/>
    <x v="0"/>
    <x v="1"/>
    <x v="0"/>
    <s v="Yes"/>
    <s v="Y"/>
    <n v="2"/>
    <n v="-2"/>
    <n v="0"/>
    <n v="19"/>
    <n v="1"/>
    <n v="1"/>
    <n v="1"/>
    <n v="0"/>
    <n v="504"/>
    <n v="10"/>
    <x v="3"/>
    <n v="1"/>
    <n v="1"/>
    <n v="96"/>
    <n v="2"/>
    <n v="1"/>
    <n v="2"/>
    <n v="1859"/>
    <n v="6148"/>
    <n v="1"/>
    <n v="25"/>
    <x v="1"/>
    <n v="2"/>
    <n v="80"/>
    <n v="0"/>
    <n v="1"/>
    <n v="4"/>
    <n v="1"/>
    <n v="1"/>
    <n v="0"/>
    <n v="0"/>
  </r>
  <r>
    <s v="No"/>
    <s v="Travel_Rarely"/>
    <x v="2"/>
    <s v="Current Employees"/>
    <x v="1"/>
    <x v="0"/>
    <s v="STAFF-1249"/>
    <n v="1249"/>
    <x v="0"/>
    <x v="1"/>
    <x v="2"/>
    <s v="No"/>
    <s v="Y"/>
    <n v="5"/>
    <n v="-2"/>
    <n v="0"/>
    <n v="29"/>
    <n v="0"/>
    <m/>
    <n v="0"/>
    <n v="1"/>
    <n v="1010"/>
    <n v="1"/>
    <x v="3"/>
    <n v="1"/>
    <n v="1"/>
    <n v="97"/>
    <n v="3"/>
    <n v="1"/>
    <n v="1"/>
    <n v="3760"/>
    <n v="5598"/>
    <n v="1"/>
    <n v="15"/>
    <x v="0"/>
    <n v="1"/>
    <n v="80"/>
    <n v="3"/>
    <n v="3"/>
    <n v="3"/>
    <n v="3"/>
    <n v="2"/>
    <n v="1"/>
    <n v="2"/>
  </r>
  <r>
    <s v="No"/>
    <s v="Travel_Rarely"/>
    <x v="1"/>
    <s v="Current Employees"/>
    <x v="1"/>
    <x v="0"/>
    <s v="STAFF-1250"/>
    <n v="1250"/>
    <x v="1"/>
    <x v="7"/>
    <x v="1"/>
    <s v="No"/>
    <s v="Y"/>
    <n v="2"/>
    <n v="-2"/>
    <n v="0"/>
    <n v="54"/>
    <n v="0"/>
    <m/>
    <n v="0"/>
    <n v="1"/>
    <n v="685"/>
    <n v="3"/>
    <x v="3"/>
    <n v="1"/>
    <n v="4"/>
    <n v="85"/>
    <n v="3"/>
    <n v="4"/>
    <n v="1"/>
    <n v="17779"/>
    <n v="23474"/>
    <n v="3"/>
    <n v="14"/>
    <x v="0"/>
    <n v="1"/>
    <n v="80"/>
    <n v="0"/>
    <n v="36"/>
    <n v="3"/>
    <n v="10"/>
    <n v="9"/>
    <n v="0"/>
    <n v="9"/>
  </r>
  <r>
    <s v="No"/>
    <s v="Travel_Rarely"/>
    <x v="2"/>
    <s v="Current Employees"/>
    <x v="1"/>
    <x v="2"/>
    <s v="STAFF-1251"/>
    <n v="1251"/>
    <x v="1"/>
    <x v="4"/>
    <x v="1"/>
    <s v="Yes"/>
    <s v="Y"/>
    <n v="2"/>
    <n v="-2"/>
    <n v="0"/>
    <n v="31"/>
    <n v="0"/>
    <m/>
    <n v="0"/>
    <n v="1"/>
    <n v="1332"/>
    <n v="11"/>
    <x v="0"/>
    <n v="1"/>
    <n v="3"/>
    <n v="80"/>
    <n v="3"/>
    <n v="2"/>
    <n v="3"/>
    <n v="6833"/>
    <n v="17089"/>
    <n v="1"/>
    <n v="12"/>
    <x v="0"/>
    <n v="4"/>
    <n v="80"/>
    <n v="0"/>
    <n v="6"/>
    <n v="2"/>
    <n v="6"/>
    <n v="5"/>
    <n v="0"/>
    <n v="1"/>
  </r>
  <r>
    <s v="No"/>
    <s v="Travel_Rarely"/>
    <x v="2"/>
    <s v="Current Employees"/>
    <x v="1"/>
    <x v="2"/>
    <s v="STAFF-1252"/>
    <n v="1252"/>
    <x v="0"/>
    <x v="4"/>
    <x v="0"/>
    <s v="No"/>
    <s v="Y"/>
    <n v="2"/>
    <n v="-2"/>
    <n v="0"/>
    <n v="31"/>
    <n v="0"/>
    <m/>
    <n v="0"/>
    <n v="1"/>
    <n v="1062"/>
    <n v="24"/>
    <x v="3"/>
    <n v="1"/>
    <n v="3"/>
    <n v="96"/>
    <n v="2"/>
    <n v="2"/>
    <n v="3"/>
    <n v="6812"/>
    <n v="17198"/>
    <n v="1"/>
    <n v="19"/>
    <x v="0"/>
    <n v="2"/>
    <n v="80"/>
    <n v="0"/>
    <n v="10"/>
    <n v="3"/>
    <n v="10"/>
    <n v="9"/>
    <n v="1"/>
    <n v="8"/>
  </r>
  <r>
    <s v="No"/>
    <s v="Travel_Rarely"/>
    <x v="3"/>
    <s v="Current Employees"/>
    <x v="0"/>
    <x v="0"/>
    <s v="STAFF-1254"/>
    <n v="1254"/>
    <x v="0"/>
    <x v="0"/>
    <x v="0"/>
    <s v="No"/>
    <s v="Y"/>
    <n v="2"/>
    <n v="-2"/>
    <n v="0"/>
    <n v="59"/>
    <n v="0"/>
    <m/>
    <n v="0"/>
    <n v="1"/>
    <n v="326"/>
    <n v="3"/>
    <x v="3"/>
    <n v="1"/>
    <n v="3"/>
    <n v="48"/>
    <n v="2"/>
    <n v="2"/>
    <n v="1"/>
    <n v="5171"/>
    <n v="16490"/>
    <n v="5"/>
    <n v="17"/>
    <x v="0"/>
    <n v="4"/>
    <n v="80"/>
    <n v="0"/>
    <n v="13"/>
    <n v="3"/>
    <n v="6"/>
    <n v="1"/>
    <n v="0"/>
    <n v="5"/>
  </r>
  <r>
    <s v="No"/>
    <s v="Travel_Rarely"/>
    <x v="0"/>
    <s v="Current Employees"/>
    <x v="1"/>
    <x v="0"/>
    <s v="STAFF-1255"/>
    <n v="1255"/>
    <x v="1"/>
    <x v="7"/>
    <x v="1"/>
    <s v="No"/>
    <s v="Y"/>
    <n v="2"/>
    <n v="-2"/>
    <n v="0"/>
    <n v="43"/>
    <n v="0"/>
    <m/>
    <n v="0"/>
    <n v="1"/>
    <n v="920"/>
    <n v="3"/>
    <x v="3"/>
    <n v="1"/>
    <n v="3"/>
    <n v="96"/>
    <n v="1"/>
    <n v="5"/>
    <n v="1"/>
    <n v="19740"/>
    <n v="18625"/>
    <n v="3"/>
    <n v="14"/>
    <x v="0"/>
    <n v="2"/>
    <n v="80"/>
    <n v="1"/>
    <n v="25"/>
    <n v="3"/>
    <n v="8"/>
    <n v="7"/>
    <n v="0"/>
    <n v="7"/>
  </r>
  <r>
    <s v="No"/>
    <s v="Travel_Rarely"/>
    <x v="1"/>
    <s v="Current Employees"/>
    <x v="1"/>
    <x v="2"/>
    <s v="STAFF-1256"/>
    <n v="1256"/>
    <x v="1"/>
    <x v="5"/>
    <x v="1"/>
    <s v="No"/>
    <s v="Y"/>
    <n v="2"/>
    <n v="-2"/>
    <n v="0"/>
    <n v="49"/>
    <n v="0"/>
    <m/>
    <n v="0"/>
    <n v="1"/>
    <n v="1098"/>
    <n v="4"/>
    <x v="0"/>
    <n v="1"/>
    <n v="1"/>
    <n v="85"/>
    <n v="2"/>
    <n v="5"/>
    <n v="3"/>
    <n v="18711"/>
    <n v="12124"/>
    <n v="2"/>
    <n v="13"/>
    <x v="0"/>
    <n v="3"/>
    <n v="80"/>
    <n v="1"/>
    <n v="23"/>
    <n v="4"/>
    <n v="1"/>
    <n v="0"/>
    <n v="0"/>
    <n v="0"/>
  </r>
  <r>
    <s v="No"/>
    <s v="Travel_Frequently"/>
    <x v="0"/>
    <s v="Current Employees"/>
    <x v="1"/>
    <x v="4"/>
    <s v="STAFF-1257"/>
    <n v="1257"/>
    <x v="1"/>
    <x v="1"/>
    <x v="1"/>
    <s v="No"/>
    <s v="Y"/>
    <n v="2"/>
    <n v="-2"/>
    <n v="0"/>
    <n v="36"/>
    <n v="0"/>
    <m/>
    <n v="0"/>
    <n v="1"/>
    <n v="469"/>
    <n v="3"/>
    <x v="3"/>
    <n v="1"/>
    <n v="4"/>
    <n v="46"/>
    <n v="3"/>
    <n v="1"/>
    <n v="4"/>
    <n v="3692"/>
    <n v="9256"/>
    <n v="1"/>
    <n v="12"/>
    <x v="0"/>
    <n v="3"/>
    <n v="80"/>
    <n v="0"/>
    <n v="12"/>
    <n v="2"/>
    <n v="11"/>
    <n v="10"/>
    <n v="0"/>
    <n v="7"/>
  </r>
  <r>
    <s v="No"/>
    <s v="Travel_Rarely"/>
    <x v="1"/>
    <s v="Current Employees"/>
    <x v="1"/>
    <x v="4"/>
    <s v="STAFF-1258"/>
    <n v="1258"/>
    <x v="1"/>
    <x v="2"/>
    <x v="0"/>
    <s v="No"/>
    <s v="Y"/>
    <n v="4"/>
    <n v="-2"/>
    <n v="0"/>
    <n v="48"/>
    <n v="0"/>
    <m/>
    <n v="0"/>
    <n v="1"/>
    <n v="969"/>
    <n v="2"/>
    <x v="0"/>
    <n v="1"/>
    <n v="4"/>
    <n v="76"/>
    <n v="4"/>
    <n v="1"/>
    <n v="4"/>
    <n v="2559"/>
    <n v="16620"/>
    <n v="5"/>
    <n v="11"/>
    <x v="0"/>
    <n v="3"/>
    <n v="80"/>
    <n v="0"/>
    <n v="7"/>
    <n v="2"/>
    <n v="1"/>
    <n v="0"/>
    <n v="0"/>
    <n v="0"/>
  </r>
  <r>
    <s v="No"/>
    <s v="Travel_Rarely"/>
    <x v="2"/>
    <s v="Current Employees"/>
    <x v="1"/>
    <x v="0"/>
    <s v="STAFF-1259"/>
    <n v="1259"/>
    <x v="1"/>
    <x v="1"/>
    <x v="2"/>
    <s v="No"/>
    <s v="Y"/>
    <n v="2"/>
    <n v="-2"/>
    <n v="0"/>
    <n v="27"/>
    <n v="0"/>
    <m/>
    <n v="0"/>
    <n v="1"/>
    <n v="1167"/>
    <n v="4"/>
    <x v="0"/>
    <n v="1"/>
    <n v="1"/>
    <n v="76"/>
    <n v="3"/>
    <n v="1"/>
    <n v="1"/>
    <n v="2517"/>
    <n v="3208"/>
    <n v="1"/>
    <n v="11"/>
    <x v="0"/>
    <n v="2"/>
    <n v="80"/>
    <n v="3"/>
    <n v="5"/>
    <n v="3"/>
    <n v="5"/>
    <n v="3"/>
    <n v="0"/>
    <n v="3"/>
  </r>
  <r>
    <s v="No"/>
    <s v="Travel_Rarely"/>
    <x v="2"/>
    <s v="Current Employees"/>
    <x v="1"/>
    <x v="0"/>
    <s v="STAFF-1260"/>
    <n v="1260"/>
    <x v="1"/>
    <x v="4"/>
    <x v="2"/>
    <s v="Yes"/>
    <s v="Y"/>
    <n v="2"/>
    <n v="-2"/>
    <n v="0"/>
    <n v="29"/>
    <n v="0"/>
    <m/>
    <n v="0"/>
    <n v="1"/>
    <n v="1329"/>
    <n v="7"/>
    <x v="3"/>
    <n v="1"/>
    <n v="3"/>
    <n v="82"/>
    <n v="3"/>
    <n v="2"/>
    <n v="1"/>
    <n v="6623"/>
    <n v="4204"/>
    <n v="1"/>
    <n v="11"/>
    <x v="0"/>
    <n v="2"/>
    <n v="80"/>
    <n v="2"/>
    <n v="6"/>
    <n v="3"/>
    <n v="6"/>
    <n v="0"/>
    <n v="1"/>
    <n v="0"/>
  </r>
  <r>
    <s v="No"/>
    <s v="Travel_Rarely"/>
    <x v="1"/>
    <s v="Current Employees"/>
    <x v="1"/>
    <x v="0"/>
    <s v="STAFF-1263"/>
    <n v="1263"/>
    <x v="1"/>
    <x v="7"/>
    <x v="0"/>
    <s v="No"/>
    <s v="Y"/>
    <n v="3"/>
    <n v="-2"/>
    <n v="0"/>
    <n v="48"/>
    <n v="0"/>
    <m/>
    <n v="0"/>
    <n v="1"/>
    <n v="715"/>
    <n v="1"/>
    <x v="3"/>
    <n v="1"/>
    <n v="4"/>
    <n v="76"/>
    <n v="2"/>
    <n v="5"/>
    <n v="1"/>
    <n v="18265"/>
    <n v="8733"/>
    <n v="6"/>
    <n v="12"/>
    <x v="0"/>
    <n v="3"/>
    <n v="80"/>
    <n v="0"/>
    <n v="25"/>
    <n v="4"/>
    <n v="1"/>
    <n v="0"/>
    <n v="0"/>
    <n v="0"/>
  </r>
  <r>
    <s v="No"/>
    <s v="Travel_Rarely"/>
    <x v="2"/>
    <s v="Current Employees"/>
    <x v="1"/>
    <x v="0"/>
    <s v="STAFF-1264"/>
    <n v="1264"/>
    <x v="0"/>
    <x v="7"/>
    <x v="2"/>
    <s v="No"/>
    <s v="Y"/>
    <n v="2"/>
    <n v="-2"/>
    <n v="0"/>
    <n v="29"/>
    <n v="0"/>
    <m/>
    <n v="0"/>
    <n v="1"/>
    <n v="694"/>
    <n v="1"/>
    <x v="3"/>
    <n v="1"/>
    <n v="4"/>
    <n v="87"/>
    <n v="2"/>
    <n v="4"/>
    <n v="1"/>
    <n v="16124"/>
    <n v="3423"/>
    <n v="3"/>
    <n v="14"/>
    <x v="0"/>
    <n v="2"/>
    <n v="80"/>
    <n v="2"/>
    <n v="9"/>
    <n v="2"/>
    <n v="7"/>
    <n v="7"/>
    <n v="1"/>
    <n v="7"/>
  </r>
  <r>
    <s v="No"/>
    <s v="Travel_Rarely"/>
    <x v="2"/>
    <s v="Current Employees"/>
    <x v="1"/>
    <x v="4"/>
    <s v="STAFF-1265"/>
    <n v="1265"/>
    <x v="0"/>
    <x v="1"/>
    <x v="1"/>
    <s v="No"/>
    <s v="Y"/>
    <n v="5"/>
    <n v="-2"/>
    <n v="0"/>
    <n v="34"/>
    <n v="0"/>
    <m/>
    <n v="0"/>
    <n v="1"/>
    <n v="1320"/>
    <n v="20"/>
    <x v="3"/>
    <n v="1"/>
    <n v="4"/>
    <n v="89"/>
    <n v="4"/>
    <n v="1"/>
    <n v="4"/>
    <n v="2585"/>
    <n v="21643"/>
    <n v="0"/>
    <n v="17"/>
    <x v="0"/>
    <n v="4"/>
    <n v="80"/>
    <n v="0"/>
    <n v="2"/>
    <n v="2"/>
    <n v="1"/>
    <n v="0"/>
    <n v="0"/>
    <n v="0"/>
  </r>
  <r>
    <s v="No"/>
    <s v="Travel_Rarely"/>
    <x v="0"/>
    <s v="Current Employees"/>
    <x v="0"/>
    <x v="3"/>
    <s v="STAFF-1267"/>
    <n v="1267"/>
    <x v="1"/>
    <x v="5"/>
    <x v="1"/>
    <s v="No"/>
    <s v="Y"/>
    <n v="5"/>
    <n v="-2"/>
    <n v="0"/>
    <n v="44"/>
    <n v="0"/>
    <m/>
    <n v="0"/>
    <n v="1"/>
    <n v="1099"/>
    <n v="5"/>
    <x v="3"/>
    <n v="1"/>
    <n v="2"/>
    <n v="88"/>
    <n v="3"/>
    <n v="5"/>
    <n v="2"/>
    <n v="18213"/>
    <n v="8751"/>
    <n v="7"/>
    <n v="11"/>
    <x v="0"/>
    <n v="3"/>
    <n v="80"/>
    <n v="1"/>
    <n v="26"/>
    <n v="3"/>
    <n v="22"/>
    <n v="9"/>
    <n v="3"/>
    <n v="10"/>
  </r>
  <r>
    <s v="No"/>
    <s v="Travel_Rarely"/>
    <x v="2"/>
    <s v="Current Employees"/>
    <x v="0"/>
    <x v="3"/>
    <s v="STAFF-1268"/>
    <n v="1268"/>
    <x v="1"/>
    <x v="0"/>
    <x v="2"/>
    <s v="Yes"/>
    <s v="Y"/>
    <n v="3"/>
    <n v="-2"/>
    <n v="0"/>
    <n v="33"/>
    <n v="0"/>
    <m/>
    <n v="0"/>
    <n v="1"/>
    <n v="536"/>
    <n v="10"/>
    <x v="4"/>
    <n v="1"/>
    <n v="4"/>
    <n v="82"/>
    <n v="4"/>
    <n v="3"/>
    <n v="2"/>
    <n v="8380"/>
    <n v="21708"/>
    <n v="0"/>
    <n v="14"/>
    <x v="0"/>
    <n v="4"/>
    <n v="80"/>
    <n v="2"/>
    <n v="10"/>
    <n v="3"/>
    <n v="9"/>
    <n v="8"/>
    <n v="0"/>
    <n v="8"/>
  </r>
  <r>
    <s v="No"/>
    <s v="Travel_Rarely"/>
    <x v="4"/>
    <s v="Current Employees"/>
    <x v="1"/>
    <x v="0"/>
    <s v="STAFF-1269"/>
    <n v="1269"/>
    <x v="0"/>
    <x v="1"/>
    <x v="0"/>
    <s v="Yes"/>
    <s v="Y"/>
    <n v="2"/>
    <n v="-2"/>
    <n v="0"/>
    <n v="19"/>
    <n v="0"/>
    <m/>
    <n v="0"/>
    <n v="1"/>
    <n v="265"/>
    <n v="25"/>
    <x v="3"/>
    <n v="1"/>
    <n v="2"/>
    <n v="57"/>
    <n v="4"/>
    <n v="1"/>
    <n v="1"/>
    <n v="2994"/>
    <n v="21221"/>
    <n v="1"/>
    <n v="12"/>
    <x v="0"/>
    <n v="4"/>
    <n v="80"/>
    <n v="0"/>
    <n v="1"/>
    <n v="3"/>
    <n v="1"/>
    <n v="0"/>
    <n v="0"/>
    <n v="1"/>
  </r>
  <r>
    <s v="No"/>
    <s v="Travel_Rarely"/>
    <x v="4"/>
    <s v="Current Employees"/>
    <x v="1"/>
    <x v="0"/>
    <s v="STAFF-1270"/>
    <n v="1270"/>
    <x v="1"/>
    <x v="1"/>
    <x v="1"/>
    <s v="No"/>
    <s v="Y"/>
    <n v="2"/>
    <n v="-2"/>
    <n v="0"/>
    <n v="23"/>
    <n v="0"/>
    <m/>
    <n v="0"/>
    <n v="1"/>
    <n v="373"/>
    <n v="1"/>
    <x v="0"/>
    <n v="1"/>
    <n v="4"/>
    <n v="47"/>
    <n v="3"/>
    <n v="1"/>
    <n v="1"/>
    <n v="1223"/>
    <n v="16901"/>
    <n v="1"/>
    <n v="22"/>
    <x v="1"/>
    <n v="4"/>
    <n v="80"/>
    <n v="1"/>
    <n v="1"/>
    <n v="3"/>
    <n v="1"/>
    <n v="0"/>
    <n v="0"/>
    <n v="1"/>
  </r>
  <r>
    <s v="Yes"/>
    <s v="Travel_Frequently"/>
    <x v="2"/>
    <s v="Ex-Employees"/>
    <x v="0"/>
    <x v="0"/>
    <s v="STAFF-1273"/>
    <n v="1273"/>
    <x v="1"/>
    <x v="6"/>
    <x v="0"/>
    <s v="Yes"/>
    <s v="Y"/>
    <n v="4"/>
    <n v="-2"/>
    <n v="0"/>
    <n v="25"/>
    <n v="1"/>
    <n v="1"/>
    <n v="1"/>
    <n v="0"/>
    <n v="599"/>
    <n v="24"/>
    <x v="1"/>
    <n v="1"/>
    <n v="3"/>
    <n v="73"/>
    <n v="1"/>
    <n v="1"/>
    <n v="1"/>
    <n v="1118"/>
    <n v="8040"/>
    <n v="1"/>
    <n v="14"/>
    <x v="0"/>
    <n v="4"/>
    <n v="80"/>
    <n v="0"/>
    <n v="1"/>
    <n v="3"/>
    <n v="1"/>
    <n v="0"/>
    <n v="1"/>
    <n v="0"/>
  </r>
  <r>
    <s v="No"/>
    <s v="Travel_Rarely"/>
    <x v="2"/>
    <s v="Current Employees"/>
    <x v="1"/>
    <x v="0"/>
    <s v="STAFF-1275"/>
    <n v="1275"/>
    <x v="1"/>
    <x v="1"/>
    <x v="0"/>
    <s v="Yes"/>
    <s v="Y"/>
    <n v="2"/>
    <n v="-2"/>
    <n v="0"/>
    <n v="26"/>
    <n v="0"/>
    <m/>
    <n v="0"/>
    <n v="1"/>
    <n v="583"/>
    <n v="4"/>
    <x v="0"/>
    <n v="1"/>
    <n v="3"/>
    <n v="53"/>
    <n v="3"/>
    <n v="1"/>
    <n v="1"/>
    <n v="2875"/>
    <n v="9973"/>
    <n v="1"/>
    <n v="20"/>
    <x v="1"/>
    <n v="2"/>
    <n v="80"/>
    <n v="0"/>
    <n v="8"/>
    <n v="2"/>
    <n v="8"/>
    <n v="5"/>
    <n v="2"/>
    <n v="2"/>
  </r>
  <r>
    <s v="Yes"/>
    <s v="Travel_Rarely"/>
    <x v="1"/>
    <s v="Ex-Employees"/>
    <x v="0"/>
    <x v="3"/>
    <s v="STAFF-1277"/>
    <n v="1277"/>
    <x v="0"/>
    <x v="5"/>
    <x v="0"/>
    <s v="Yes"/>
    <s v="Y"/>
    <n v="2"/>
    <n v="-2"/>
    <n v="0"/>
    <n v="45"/>
    <n v="1"/>
    <n v="1"/>
    <n v="1"/>
    <n v="0"/>
    <n v="1449"/>
    <n v="2"/>
    <x v="3"/>
    <n v="1"/>
    <n v="1"/>
    <n v="94"/>
    <n v="1"/>
    <n v="5"/>
    <n v="2"/>
    <n v="18824"/>
    <n v="2493"/>
    <n v="2"/>
    <n v="16"/>
    <x v="0"/>
    <n v="1"/>
    <n v="80"/>
    <n v="0"/>
    <n v="26"/>
    <n v="3"/>
    <n v="24"/>
    <n v="10"/>
    <n v="1"/>
    <n v="11"/>
  </r>
  <r>
    <s v="No"/>
    <s v="Non-Travel"/>
    <x v="3"/>
    <s v="Current Employees"/>
    <x v="1"/>
    <x v="2"/>
    <s v="STAFF-1278"/>
    <n v="1278"/>
    <x v="1"/>
    <x v="4"/>
    <x v="2"/>
    <s v="Yes"/>
    <s v="Y"/>
    <n v="3"/>
    <n v="-2"/>
    <n v="0"/>
    <n v="55"/>
    <n v="0"/>
    <m/>
    <n v="0"/>
    <n v="1"/>
    <n v="177"/>
    <n v="8"/>
    <x v="1"/>
    <n v="1"/>
    <n v="4"/>
    <n v="37"/>
    <n v="2"/>
    <n v="4"/>
    <n v="2"/>
    <n v="13577"/>
    <n v="25592"/>
    <n v="1"/>
    <n v="15"/>
    <x v="0"/>
    <n v="4"/>
    <n v="80"/>
    <n v="1"/>
    <n v="34"/>
    <n v="3"/>
    <n v="33"/>
    <n v="9"/>
    <n v="15"/>
    <n v="0"/>
  </r>
  <r>
    <s v="Yes"/>
    <s v="Travel_Frequently"/>
    <x v="4"/>
    <s v="Ex-Employees"/>
    <x v="1"/>
    <x v="0"/>
    <s v="STAFF-1279"/>
    <n v="1279"/>
    <x v="0"/>
    <x v="2"/>
    <x v="0"/>
    <s v="No"/>
    <s v="Y"/>
    <n v="2"/>
    <n v="-2"/>
    <n v="0"/>
    <n v="21"/>
    <n v="1"/>
    <n v="1"/>
    <n v="1"/>
    <n v="0"/>
    <n v="251"/>
    <n v="10"/>
    <x v="0"/>
    <n v="1"/>
    <n v="1"/>
    <n v="45"/>
    <n v="2"/>
    <n v="1"/>
    <n v="1"/>
    <n v="2625"/>
    <n v="25308"/>
    <n v="1"/>
    <n v="20"/>
    <x v="1"/>
    <n v="3"/>
    <n v="80"/>
    <n v="0"/>
    <n v="2"/>
    <n v="1"/>
    <n v="2"/>
    <n v="2"/>
    <n v="2"/>
    <n v="2"/>
  </r>
  <r>
    <s v="No"/>
    <s v="Travel_Rarely"/>
    <x v="1"/>
    <s v="Current Employees"/>
    <x v="0"/>
    <x v="3"/>
    <s v="STAFF-1280"/>
    <n v="1280"/>
    <x v="0"/>
    <x v="5"/>
    <x v="1"/>
    <s v="No"/>
    <s v="Y"/>
    <n v="2"/>
    <n v="-2"/>
    <n v="0"/>
    <n v="46"/>
    <n v="0"/>
    <m/>
    <n v="0"/>
    <n v="1"/>
    <n v="168"/>
    <n v="4"/>
    <x v="0"/>
    <n v="1"/>
    <n v="4"/>
    <n v="33"/>
    <n v="2"/>
    <n v="5"/>
    <n v="2"/>
    <n v="18789"/>
    <n v="9946"/>
    <n v="2"/>
    <n v="14"/>
    <x v="0"/>
    <n v="3"/>
    <n v="80"/>
    <n v="1"/>
    <n v="26"/>
    <n v="3"/>
    <n v="11"/>
    <n v="4"/>
    <n v="0"/>
    <n v="8"/>
  </r>
  <r>
    <s v="No"/>
    <s v="Travel_Rarely"/>
    <x v="2"/>
    <s v="Current Employees"/>
    <x v="0"/>
    <x v="3"/>
    <s v="STAFF-1281"/>
    <n v="1281"/>
    <x v="0"/>
    <x v="0"/>
    <x v="0"/>
    <s v="Yes"/>
    <s v="Y"/>
    <n v="3"/>
    <n v="-2"/>
    <n v="0"/>
    <n v="34"/>
    <n v="0"/>
    <m/>
    <n v="0"/>
    <n v="1"/>
    <n v="131"/>
    <n v="2"/>
    <x v="3"/>
    <n v="1"/>
    <n v="3"/>
    <n v="86"/>
    <n v="3"/>
    <n v="2"/>
    <n v="2"/>
    <n v="4538"/>
    <n v="6039"/>
    <n v="0"/>
    <n v="12"/>
    <x v="0"/>
    <n v="4"/>
    <n v="80"/>
    <n v="0"/>
    <n v="4"/>
    <n v="3"/>
    <n v="3"/>
    <n v="2"/>
    <n v="0"/>
    <n v="2"/>
  </r>
  <r>
    <s v="No"/>
    <s v="Travel_Frequently"/>
    <x v="1"/>
    <s v="Current Employees"/>
    <x v="0"/>
    <x v="0"/>
    <s v="STAFF-1282"/>
    <n v="1282"/>
    <x v="1"/>
    <x v="5"/>
    <x v="2"/>
    <s v="Yes"/>
    <s v="Y"/>
    <n v="5"/>
    <n v="-2"/>
    <n v="0"/>
    <n v="51"/>
    <n v="0"/>
    <m/>
    <n v="0"/>
    <n v="1"/>
    <n v="237"/>
    <n v="9"/>
    <x v="3"/>
    <n v="1"/>
    <n v="4"/>
    <n v="83"/>
    <n v="3"/>
    <n v="5"/>
    <n v="1"/>
    <n v="19847"/>
    <n v="19196"/>
    <n v="4"/>
    <n v="24"/>
    <x v="1"/>
    <n v="1"/>
    <n v="80"/>
    <n v="1"/>
    <n v="31"/>
    <n v="2"/>
    <n v="29"/>
    <n v="10"/>
    <n v="11"/>
    <n v="10"/>
  </r>
  <r>
    <s v="No"/>
    <s v="Travel_Rarely"/>
    <x v="3"/>
    <s v="Current Employees"/>
    <x v="1"/>
    <x v="2"/>
    <s v="STAFF-1283"/>
    <n v="1283"/>
    <x v="1"/>
    <x v="3"/>
    <x v="0"/>
    <s v="No"/>
    <s v="Y"/>
    <n v="6"/>
    <n v="-2"/>
    <n v="0"/>
    <n v="59"/>
    <n v="0"/>
    <m/>
    <n v="0"/>
    <n v="1"/>
    <n v="1429"/>
    <n v="18"/>
    <x v="2"/>
    <n v="1"/>
    <n v="4"/>
    <n v="67"/>
    <n v="3"/>
    <n v="3"/>
    <n v="4"/>
    <n v="10512"/>
    <n v="20002"/>
    <n v="6"/>
    <n v="12"/>
    <x v="0"/>
    <n v="4"/>
    <n v="80"/>
    <n v="0"/>
    <n v="25"/>
    <n v="2"/>
    <n v="9"/>
    <n v="7"/>
    <n v="5"/>
    <n v="4"/>
  </r>
  <r>
    <s v="No"/>
    <s v="Travel_Frequently"/>
    <x v="2"/>
    <s v="Current Employees"/>
    <x v="1"/>
    <x v="2"/>
    <s v="STAFF-1285"/>
    <n v="1285"/>
    <x v="0"/>
    <x v="2"/>
    <x v="2"/>
    <s v="No"/>
    <s v="Y"/>
    <n v="2"/>
    <n v="-2"/>
    <n v="0"/>
    <n v="34"/>
    <n v="0"/>
    <m/>
    <n v="0"/>
    <n v="1"/>
    <n v="135"/>
    <n v="19"/>
    <x v="3"/>
    <n v="1"/>
    <n v="3"/>
    <n v="46"/>
    <n v="3"/>
    <n v="2"/>
    <n v="2"/>
    <n v="4444"/>
    <n v="22534"/>
    <n v="4"/>
    <n v="13"/>
    <x v="0"/>
    <n v="3"/>
    <n v="80"/>
    <n v="2"/>
    <n v="15"/>
    <n v="4"/>
    <n v="11"/>
    <n v="8"/>
    <n v="5"/>
    <n v="10"/>
  </r>
  <r>
    <s v="No"/>
    <s v="Travel_Frequently"/>
    <x v="2"/>
    <s v="Current Employees"/>
    <x v="1"/>
    <x v="2"/>
    <s v="STAFF-1286"/>
    <n v="1286"/>
    <x v="1"/>
    <x v="2"/>
    <x v="0"/>
    <s v="Yes"/>
    <s v="Y"/>
    <n v="2"/>
    <n v="-2"/>
    <n v="0"/>
    <n v="28"/>
    <n v="0"/>
    <m/>
    <n v="0"/>
    <n v="1"/>
    <n v="791"/>
    <n v="1"/>
    <x v="2"/>
    <n v="1"/>
    <n v="4"/>
    <n v="44"/>
    <n v="3"/>
    <n v="1"/>
    <n v="3"/>
    <n v="2154"/>
    <n v="6842"/>
    <n v="0"/>
    <n v="11"/>
    <x v="0"/>
    <n v="3"/>
    <n v="80"/>
    <n v="0"/>
    <n v="5"/>
    <n v="2"/>
    <n v="4"/>
    <n v="2"/>
    <n v="0"/>
    <n v="2"/>
  </r>
  <r>
    <s v="No"/>
    <s v="Travel_Rarely"/>
    <x v="0"/>
    <s v="Current Employees"/>
    <x v="1"/>
    <x v="0"/>
    <s v="STAFF-1288"/>
    <n v="1288"/>
    <x v="1"/>
    <x v="5"/>
    <x v="2"/>
    <s v="No"/>
    <s v="Y"/>
    <n v="4"/>
    <n v="-2"/>
    <n v="0"/>
    <n v="44"/>
    <n v="0"/>
    <m/>
    <n v="0"/>
    <n v="1"/>
    <n v="1199"/>
    <n v="4"/>
    <x v="0"/>
    <n v="1"/>
    <n v="3"/>
    <n v="92"/>
    <n v="4"/>
    <n v="5"/>
    <n v="3"/>
    <n v="19190"/>
    <n v="17477"/>
    <n v="1"/>
    <n v="14"/>
    <x v="0"/>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x v="0"/>
    <n v="4"/>
    <n v="80"/>
    <n v="2"/>
    <n v="14"/>
    <n v="4"/>
    <n v="10"/>
    <n v="9"/>
    <n v="1"/>
    <n v="8"/>
  </r>
  <r>
    <s v="No"/>
    <s v="Travel_Rarely"/>
    <x v="0"/>
    <s v="Current Employees"/>
    <x v="1"/>
    <x v="0"/>
    <s v="STAFF-1291"/>
    <n v="1291"/>
    <x v="1"/>
    <x v="1"/>
    <x v="1"/>
    <s v="Yes"/>
    <s v="Y"/>
    <n v="3"/>
    <n v="-2"/>
    <n v="0"/>
    <n v="35"/>
    <n v="0"/>
    <m/>
    <n v="0"/>
    <n v="1"/>
    <n v="735"/>
    <n v="6"/>
    <x v="1"/>
    <n v="1"/>
    <n v="3"/>
    <n v="66"/>
    <n v="3"/>
    <n v="1"/>
    <n v="3"/>
    <n v="3506"/>
    <n v="6020"/>
    <n v="0"/>
    <n v="14"/>
    <x v="0"/>
    <n v="4"/>
    <n v="80"/>
    <n v="0"/>
    <n v="4"/>
    <n v="3"/>
    <n v="3"/>
    <n v="2"/>
    <n v="2"/>
    <n v="2"/>
  </r>
  <r>
    <s v="No"/>
    <s v="Travel_Rarely"/>
    <x v="0"/>
    <s v="Current Employees"/>
    <x v="1"/>
    <x v="2"/>
    <s v="STAFF-1292"/>
    <n v="1292"/>
    <x v="0"/>
    <x v="1"/>
    <x v="1"/>
    <s v="Yes"/>
    <s v="Y"/>
    <n v="2"/>
    <n v="-2"/>
    <n v="0"/>
    <n v="42"/>
    <n v="0"/>
    <m/>
    <n v="0"/>
    <n v="1"/>
    <n v="603"/>
    <n v="7"/>
    <x v="2"/>
    <n v="1"/>
    <n v="2"/>
    <n v="78"/>
    <n v="4"/>
    <n v="2"/>
    <n v="2"/>
    <n v="2372"/>
    <n v="5628"/>
    <n v="6"/>
    <n v="16"/>
    <x v="0"/>
    <n v="4"/>
    <n v="80"/>
    <n v="0"/>
    <n v="18"/>
    <n v="3"/>
    <n v="1"/>
    <n v="0"/>
    <n v="0"/>
    <n v="0"/>
  </r>
  <r>
    <s v="No"/>
    <s v="Travel_Rarely"/>
    <x v="0"/>
    <s v="Current Employees"/>
    <x v="0"/>
    <x v="3"/>
    <s v="STAFF-1293"/>
    <n v="1293"/>
    <x v="0"/>
    <x v="0"/>
    <x v="0"/>
    <s v="No"/>
    <s v="Y"/>
    <n v="3"/>
    <n v="-2"/>
    <n v="0"/>
    <n v="43"/>
    <n v="0"/>
    <m/>
    <n v="0"/>
    <n v="1"/>
    <n v="531"/>
    <n v="4"/>
    <x v="2"/>
    <n v="1"/>
    <n v="4"/>
    <n v="56"/>
    <n v="2"/>
    <n v="3"/>
    <n v="2"/>
    <n v="10231"/>
    <n v="20364"/>
    <n v="3"/>
    <n v="14"/>
    <x v="0"/>
    <n v="4"/>
    <n v="80"/>
    <n v="0"/>
    <n v="23"/>
    <n v="4"/>
    <n v="21"/>
    <n v="7"/>
    <n v="15"/>
    <n v="17"/>
  </r>
  <r>
    <s v="No"/>
    <s v="Travel_Rarely"/>
    <x v="0"/>
    <s v="Current Employees"/>
    <x v="1"/>
    <x v="0"/>
    <s v="STAFF-1294"/>
    <n v="1294"/>
    <x v="0"/>
    <x v="3"/>
    <x v="0"/>
    <s v="Yes"/>
    <s v="Y"/>
    <n v="2"/>
    <n v="-2"/>
    <n v="0"/>
    <n v="36"/>
    <n v="0"/>
    <m/>
    <n v="0"/>
    <n v="1"/>
    <n v="429"/>
    <n v="2"/>
    <x v="2"/>
    <n v="1"/>
    <n v="3"/>
    <n v="53"/>
    <n v="3"/>
    <n v="2"/>
    <n v="2"/>
    <n v="5410"/>
    <n v="2323"/>
    <n v="9"/>
    <n v="11"/>
    <x v="0"/>
    <n v="4"/>
    <n v="80"/>
    <n v="0"/>
    <n v="18"/>
    <n v="3"/>
    <n v="16"/>
    <n v="14"/>
    <n v="5"/>
    <n v="12"/>
  </r>
  <r>
    <s v="Yes"/>
    <s v="Travel_Rarely"/>
    <x v="0"/>
    <s v="Ex-Employees"/>
    <x v="1"/>
    <x v="2"/>
    <s v="STAFF-1295"/>
    <n v="1295"/>
    <x v="0"/>
    <x v="4"/>
    <x v="1"/>
    <s v="No"/>
    <s v="Y"/>
    <n v="2"/>
    <n v="-2"/>
    <n v="0"/>
    <n v="44"/>
    <n v="1"/>
    <n v="1"/>
    <n v="1"/>
    <n v="0"/>
    <n v="621"/>
    <n v="15"/>
    <x v="3"/>
    <n v="1"/>
    <n v="1"/>
    <n v="73"/>
    <n v="3"/>
    <n v="3"/>
    <n v="4"/>
    <n v="7978"/>
    <n v="14075"/>
    <n v="1"/>
    <n v="11"/>
    <x v="0"/>
    <n v="4"/>
    <n v="80"/>
    <n v="1"/>
    <n v="10"/>
    <n v="3"/>
    <n v="10"/>
    <n v="7"/>
    <n v="0"/>
    <n v="5"/>
  </r>
  <r>
    <s v="No"/>
    <s v="Travel_Frequently"/>
    <x v="2"/>
    <s v="Current Employees"/>
    <x v="1"/>
    <x v="0"/>
    <s v="STAFF-1296"/>
    <n v="1296"/>
    <x v="1"/>
    <x v="2"/>
    <x v="1"/>
    <s v="Yes"/>
    <s v="Y"/>
    <n v="2"/>
    <n v="-2"/>
    <n v="0"/>
    <n v="28"/>
    <n v="0"/>
    <m/>
    <n v="0"/>
    <n v="1"/>
    <n v="193"/>
    <n v="2"/>
    <x v="3"/>
    <n v="1"/>
    <n v="4"/>
    <n v="52"/>
    <n v="2"/>
    <n v="1"/>
    <n v="4"/>
    <n v="3867"/>
    <n v="14222"/>
    <n v="1"/>
    <n v="12"/>
    <x v="0"/>
    <n v="2"/>
    <n v="80"/>
    <n v="1"/>
    <n v="2"/>
    <n v="3"/>
    <n v="2"/>
    <n v="2"/>
    <n v="2"/>
    <n v="2"/>
  </r>
  <r>
    <s v="No"/>
    <s v="Travel_Frequently"/>
    <x v="1"/>
    <s v="Current Employees"/>
    <x v="1"/>
    <x v="2"/>
    <s v="STAFF-1297"/>
    <n v="1297"/>
    <x v="0"/>
    <x v="2"/>
    <x v="0"/>
    <s v="No"/>
    <s v="Y"/>
    <n v="6"/>
    <n v="-2"/>
    <n v="0"/>
    <n v="51"/>
    <n v="0"/>
    <m/>
    <n v="0"/>
    <n v="1"/>
    <n v="968"/>
    <n v="6"/>
    <x v="0"/>
    <n v="1"/>
    <n v="2"/>
    <n v="40"/>
    <n v="2"/>
    <n v="1"/>
    <n v="3"/>
    <n v="2838"/>
    <n v="4257"/>
    <n v="0"/>
    <n v="14"/>
    <x v="0"/>
    <n v="2"/>
    <n v="80"/>
    <n v="0"/>
    <n v="8"/>
    <n v="2"/>
    <n v="7"/>
    <n v="0"/>
    <n v="7"/>
    <n v="7"/>
  </r>
  <r>
    <s v="No"/>
    <s v="Non-Travel"/>
    <x v="2"/>
    <s v="Current Employees"/>
    <x v="1"/>
    <x v="2"/>
    <s v="STAFF-1298"/>
    <n v="1298"/>
    <x v="0"/>
    <x v="3"/>
    <x v="0"/>
    <s v="Yes"/>
    <s v="Y"/>
    <n v="3"/>
    <n v="-2"/>
    <n v="0"/>
    <n v="30"/>
    <n v="0"/>
    <m/>
    <n v="0"/>
    <n v="1"/>
    <n v="879"/>
    <n v="9"/>
    <x v="0"/>
    <n v="1"/>
    <n v="3"/>
    <n v="72"/>
    <n v="3"/>
    <n v="2"/>
    <n v="3"/>
    <n v="4695"/>
    <n v="12858"/>
    <n v="7"/>
    <n v="18"/>
    <x v="0"/>
    <n v="3"/>
    <n v="80"/>
    <n v="0"/>
    <n v="10"/>
    <n v="3"/>
    <n v="8"/>
    <n v="4"/>
    <n v="1"/>
    <n v="7"/>
  </r>
  <r>
    <s v="Yes"/>
    <s v="Travel_Rarely"/>
    <x v="2"/>
    <s v="Ex-Employees"/>
    <x v="1"/>
    <x v="4"/>
    <s v="STAFF-1299"/>
    <n v="1299"/>
    <x v="0"/>
    <x v="2"/>
    <x v="2"/>
    <s v="Yes"/>
    <s v="Y"/>
    <n v="2"/>
    <n v="-2"/>
    <n v="0"/>
    <n v="29"/>
    <n v="1"/>
    <n v="1"/>
    <n v="1"/>
    <n v="0"/>
    <n v="806"/>
    <n v="7"/>
    <x v="3"/>
    <n v="1"/>
    <n v="4"/>
    <n v="39"/>
    <n v="3"/>
    <n v="1"/>
    <n v="4"/>
    <n v="3339"/>
    <n v="17285"/>
    <n v="3"/>
    <n v="13"/>
    <x v="0"/>
    <n v="1"/>
    <n v="80"/>
    <n v="2"/>
    <n v="10"/>
    <n v="3"/>
    <n v="7"/>
    <n v="7"/>
    <n v="7"/>
    <n v="7"/>
  </r>
  <r>
    <s v="No"/>
    <s v="Travel_Rarely"/>
    <x v="2"/>
    <s v="Current Employees"/>
    <x v="1"/>
    <x v="4"/>
    <s v="STAFF-1301"/>
    <n v="1301"/>
    <x v="1"/>
    <x v="1"/>
    <x v="0"/>
    <s v="No"/>
    <s v="Y"/>
    <n v="2"/>
    <n v="-2"/>
    <n v="0"/>
    <n v="28"/>
    <n v="0"/>
    <m/>
    <n v="0"/>
    <n v="1"/>
    <n v="640"/>
    <n v="1"/>
    <x v="3"/>
    <n v="1"/>
    <n v="4"/>
    <n v="84"/>
    <n v="3"/>
    <n v="1"/>
    <n v="4"/>
    <n v="2080"/>
    <n v="4732"/>
    <n v="2"/>
    <n v="11"/>
    <x v="0"/>
    <n v="2"/>
    <n v="80"/>
    <n v="0"/>
    <n v="5"/>
    <n v="2"/>
    <n v="3"/>
    <n v="2"/>
    <n v="1"/>
    <n v="2"/>
  </r>
  <r>
    <s v="No"/>
    <s v="Travel_Rarely"/>
    <x v="2"/>
    <s v="Current Employees"/>
    <x v="1"/>
    <x v="2"/>
    <s v="STAFF-1303"/>
    <n v="1303"/>
    <x v="0"/>
    <x v="1"/>
    <x v="0"/>
    <s v="No"/>
    <s v="Y"/>
    <n v="3"/>
    <n v="-2"/>
    <n v="0"/>
    <n v="25"/>
    <n v="0"/>
    <m/>
    <n v="0"/>
    <n v="1"/>
    <n v="266"/>
    <n v="1"/>
    <x v="3"/>
    <n v="1"/>
    <n v="4"/>
    <n v="40"/>
    <n v="3"/>
    <n v="1"/>
    <n v="2"/>
    <n v="2096"/>
    <n v="18830"/>
    <n v="1"/>
    <n v="18"/>
    <x v="0"/>
    <n v="4"/>
    <n v="80"/>
    <n v="0"/>
    <n v="2"/>
    <n v="2"/>
    <n v="2"/>
    <n v="2"/>
    <n v="2"/>
    <n v="1"/>
  </r>
  <r>
    <s v="No"/>
    <s v="Travel_Rarely"/>
    <x v="2"/>
    <s v="Current Employees"/>
    <x v="0"/>
    <x v="2"/>
    <s v="STAFF-1304"/>
    <n v="1304"/>
    <x v="1"/>
    <x v="0"/>
    <x v="1"/>
    <s v="No"/>
    <s v="Y"/>
    <n v="4"/>
    <n v="-2"/>
    <n v="0"/>
    <n v="32"/>
    <n v="0"/>
    <m/>
    <n v="0"/>
    <n v="1"/>
    <n v="604"/>
    <n v="8"/>
    <x v="3"/>
    <n v="1"/>
    <n v="3"/>
    <n v="56"/>
    <n v="4"/>
    <n v="2"/>
    <n v="4"/>
    <n v="6209"/>
    <n v="11693"/>
    <n v="1"/>
    <n v="15"/>
    <x v="0"/>
    <n v="3"/>
    <n v="80"/>
    <n v="2"/>
    <n v="10"/>
    <n v="4"/>
    <n v="10"/>
    <n v="7"/>
    <n v="0"/>
    <n v="8"/>
  </r>
  <r>
    <s v="No"/>
    <s v="Travel_Frequently"/>
    <x v="1"/>
    <s v="Current Employees"/>
    <x v="1"/>
    <x v="2"/>
    <s v="STAFF-1306"/>
    <n v="1306"/>
    <x v="0"/>
    <x v="5"/>
    <x v="0"/>
    <s v="No"/>
    <s v="Y"/>
    <n v="4"/>
    <n v="-2"/>
    <n v="0"/>
    <n v="45"/>
    <n v="0"/>
    <m/>
    <n v="0"/>
    <n v="1"/>
    <n v="364"/>
    <n v="25"/>
    <x v="3"/>
    <n v="1"/>
    <n v="2"/>
    <n v="83"/>
    <n v="3"/>
    <n v="5"/>
    <n v="2"/>
    <n v="18061"/>
    <n v="13035"/>
    <n v="3"/>
    <n v="22"/>
    <x v="1"/>
    <n v="3"/>
    <n v="80"/>
    <n v="0"/>
    <n v="22"/>
    <n v="3"/>
    <n v="0"/>
    <n v="0"/>
    <n v="0"/>
    <n v="0"/>
  </r>
  <r>
    <s v="No"/>
    <s v="Travel_Rarely"/>
    <x v="0"/>
    <s v="Current Employees"/>
    <x v="1"/>
    <x v="2"/>
    <s v="STAFF-1307"/>
    <n v="1307"/>
    <x v="0"/>
    <x v="5"/>
    <x v="2"/>
    <s v="Yes"/>
    <s v="Y"/>
    <n v="4"/>
    <n v="-2"/>
    <n v="0"/>
    <n v="39"/>
    <n v="0"/>
    <m/>
    <n v="0"/>
    <n v="1"/>
    <n v="412"/>
    <n v="13"/>
    <x v="2"/>
    <n v="1"/>
    <n v="3"/>
    <n v="94"/>
    <n v="2"/>
    <n v="4"/>
    <n v="2"/>
    <n v="17123"/>
    <n v="17334"/>
    <n v="6"/>
    <n v="13"/>
    <x v="0"/>
    <n v="4"/>
    <n v="80"/>
    <n v="2"/>
    <n v="21"/>
    <n v="3"/>
    <n v="19"/>
    <n v="9"/>
    <n v="15"/>
    <n v="2"/>
  </r>
  <r>
    <s v="No"/>
    <s v="Travel_Rarely"/>
    <x v="3"/>
    <s v="Current Employees"/>
    <x v="1"/>
    <x v="0"/>
    <s v="STAFF-1308"/>
    <n v="1308"/>
    <x v="1"/>
    <x v="1"/>
    <x v="2"/>
    <s v="No"/>
    <s v="Y"/>
    <n v="3"/>
    <n v="-2"/>
    <n v="0"/>
    <n v="58"/>
    <n v="0"/>
    <m/>
    <n v="0"/>
    <n v="1"/>
    <n v="848"/>
    <n v="23"/>
    <x v="2"/>
    <n v="1"/>
    <n v="1"/>
    <n v="88"/>
    <n v="3"/>
    <n v="1"/>
    <n v="3"/>
    <n v="2372"/>
    <n v="26076"/>
    <n v="1"/>
    <n v="12"/>
    <x v="0"/>
    <n v="4"/>
    <n v="80"/>
    <n v="2"/>
    <n v="2"/>
    <n v="3"/>
    <n v="2"/>
    <n v="2"/>
    <n v="2"/>
    <n v="2"/>
  </r>
  <r>
    <s v="Yes"/>
    <s v="Travel_Rarely"/>
    <x v="2"/>
    <s v="Ex-Employees"/>
    <x v="1"/>
    <x v="0"/>
    <s v="STAFF-1309"/>
    <n v="1309"/>
    <x v="1"/>
    <x v="2"/>
    <x v="1"/>
    <s v="No"/>
    <s v="Y"/>
    <n v="3"/>
    <n v="-2"/>
    <n v="0"/>
    <n v="32"/>
    <n v="1"/>
    <n v="1"/>
    <n v="1"/>
    <n v="0"/>
    <n v="1089"/>
    <n v="7"/>
    <x v="0"/>
    <n v="1"/>
    <n v="4"/>
    <n v="79"/>
    <n v="3"/>
    <n v="2"/>
    <n v="3"/>
    <n v="4883"/>
    <n v="22845"/>
    <n v="1"/>
    <n v="18"/>
    <x v="0"/>
    <n v="1"/>
    <n v="80"/>
    <n v="1"/>
    <n v="10"/>
    <n v="3"/>
    <n v="10"/>
    <n v="4"/>
    <n v="1"/>
    <n v="1"/>
  </r>
  <r>
    <s v="Yes"/>
    <s v="Travel_Rarely"/>
    <x v="0"/>
    <s v="Ex-Employees"/>
    <x v="1"/>
    <x v="2"/>
    <s v="STAFF-1310"/>
    <n v="1310"/>
    <x v="1"/>
    <x v="1"/>
    <x v="0"/>
    <s v="No"/>
    <s v="Y"/>
    <n v="2"/>
    <n v="-2"/>
    <n v="0"/>
    <n v="39"/>
    <n v="1"/>
    <n v="1"/>
    <n v="1"/>
    <n v="0"/>
    <n v="360"/>
    <n v="23"/>
    <x v="3"/>
    <n v="1"/>
    <n v="3"/>
    <n v="93"/>
    <n v="3"/>
    <n v="1"/>
    <n v="3"/>
    <n v="3904"/>
    <n v="22154"/>
    <n v="0"/>
    <n v="13"/>
    <x v="0"/>
    <n v="1"/>
    <n v="80"/>
    <n v="0"/>
    <n v="6"/>
    <n v="3"/>
    <n v="5"/>
    <n v="2"/>
    <n v="0"/>
    <n v="3"/>
  </r>
  <r>
    <s v="No"/>
    <s v="Travel_Rarely"/>
    <x v="2"/>
    <s v="Current Employees"/>
    <x v="1"/>
    <x v="4"/>
    <s v="STAFF-1311"/>
    <n v="1311"/>
    <x v="0"/>
    <x v="2"/>
    <x v="1"/>
    <s v="No"/>
    <s v="Y"/>
    <n v="6"/>
    <n v="-2"/>
    <n v="0"/>
    <n v="30"/>
    <n v="0"/>
    <m/>
    <n v="0"/>
    <n v="1"/>
    <n v="1138"/>
    <n v="6"/>
    <x v="3"/>
    <n v="1"/>
    <n v="4"/>
    <n v="48"/>
    <n v="2"/>
    <n v="2"/>
    <n v="4"/>
    <n v="4627"/>
    <n v="23631"/>
    <n v="0"/>
    <n v="12"/>
    <x v="0"/>
    <n v="1"/>
    <n v="80"/>
    <n v="1"/>
    <n v="10"/>
    <n v="3"/>
    <n v="9"/>
    <n v="2"/>
    <n v="6"/>
    <n v="7"/>
  </r>
  <r>
    <s v="No"/>
    <s v="Travel_Rarely"/>
    <x v="0"/>
    <s v="Current Employees"/>
    <x v="1"/>
    <x v="4"/>
    <s v="STAFF-1312"/>
    <n v="1312"/>
    <x v="0"/>
    <x v="4"/>
    <x v="1"/>
    <s v="No"/>
    <s v="Y"/>
    <n v="0"/>
    <n v="-2"/>
    <n v="0"/>
    <n v="36"/>
    <n v="0"/>
    <m/>
    <n v="0"/>
    <n v="1"/>
    <n v="325"/>
    <n v="10"/>
    <x v="2"/>
    <n v="1"/>
    <n v="4"/>
    <n v="63"/>
    <n v="3"/>
    <n v="3"/>
    <n v="4"/>
    <n v="7094"/>
    <n v="5747"/>
    <n v="3"/>
    <n v="12"/>
    <x v="0"/>
    <n v="1"/>
    <n v="80"/>
    <n v="0"/>
    <n v="10"/>
    <n v="3"/>
    <n v="7"/>
    <n v="7"/>
    <n v="1"/>
    <n v="7"/>
  </r>
  <r>
    <s v="No"/>
    <s v="Travel_Rarely"/>
    <x v="1"/>
    <s v="Current Employees"/>
    <x v="2"/>
    <x v="0"/>
    <s v="STAFF-1314"/>
    <n v="1314"/>
    <x v="0"/>
    <x v="8"/>
    <x v="0"/>
    <s v="No"/>
    <s v="Y"/>
    <n v="3"/>
    <n v="-2"/>
    <n v="0"/>
    <n v="46"/>
    <n v="0"/>
    <m/>
    <n v="0"/>
    <n v="1"/>
    <n v="991"/>
    <n v="1"/>
    <x v="0"/>
    <n v="1"/>
    <n v="4"/>
    <n v="44"/>
    <n v="3"/>
    <n v="1"/>
    <n v="3"/>
    <n v="3423"/>
    <n v="22957"/>
    <n v="6"/>
    <n v="12"/>
    <x v="0"/>
    <n v="3"/>
    <n v="80"/>
    <n v="0"/>
    <n v="10"/>
    <n v="4"/>
    <n v="7"/>
    <n v="6"/>
    <n v="5"/>
    <n v="7"/>
  </r>
  <r>
    <s v="No"/>
    <s v="Non-Travel"/>
    <x v="2"/>
    <s v="Current Employees"/>
    <x v="1"/>
    <x v="0"/>
    <s v="STAFF-1315"/>
    <n v="1315"/>
    <x v="0"/>
    <x v="2"/>
    <x v="1"/>
    <s v="No"/>
    <s v="Y"/>
    <n v="6"/>
    <n v="-2"/>
    <n v="0"/>
    <n v="28"/>
    <n v="0"/>
    <m/>
    <n v="0"/>
    <n v="1"/>
    <n v="1476"/>
    <n v="1"/>
    <x v="3"/>
    <n v="1"/>
    <n v="3"/>
    <n v="55"/>
    <n v="1"/>
    <n v="2"/>
    <n v="4"/>
    <n v="6674"/>
    <n v="16392"/>
    <n v="0"/>
    <n v="11"/>
    <x v="0"/>
    <n v="1"/>
    <n v="80"/>
    <n v="3"/>
    <n v="10"/>
    <n v="3"/>
    <n v="9"/>
    <n v="8"/>
    <n v="7"/>
    <n v="5"/>
  </r>
  <r>
    <s v="No"/>
    <s v="Travel_Rarely"/>
    <x v="1"/>
    <s v="Current Employees"/>
    <x v="1"/>
    <x v="0"/>
    <s v="STAFF-1317"/>
    <n v="1317"/>
    <x v="0"/>
    <x v="7"/>
    <x v="1"/>
    <s v="Yes"/>
    <s v="Y"/>
    <n v="2"/>
    <n v="-2"/>
    <n v="0"/>
    <n v="50"/>
    <n v="0"/>
    <m/>
    <n v="0"/>
    <n v="1"/>
    <n v="1322"/>
    <n v="28"/>
    <x v="3"/>
    <n v="1"/>
    <n v="4"/>
    <n v="43"/>
    <n v="3"/>
    <n v="4"/>
    <n v="3"/>
    <n v="16880"/>
    <n v="22422"/>
    <n v="4"/>
    <n v="11"/>
    <x v="0"/>
    <n v="2"/>
    <n v="80"/>
    <n v="0"/>
    <n v="25"/>
    <n v="3"/>
    <n v="3"/>
    <n v="2"/>
    <n v="1"/>
    <n v="2"/>
  </r>
  <r>
    <s v="Yes"/>
    <s v="Travel_Rarely"/>
    <x v="0"/>
    <s v="Ex-Employees"/>
    <x v="0"/>
    <x v="3"/>
    <s v="STAFF-1318"/>
    <n v="1318"/>
    <x v="1"/>
    <x v="0"/>
    <x v="0"/>
    <s v="Yes"/>
    <s v="Y"/>
    <n v="2"/>
    <n v="-2"/>
    <n v="0"/>
    <n v="40"/>
    <n v="1"/>
    <n v="1"/>
    <n v="1"/>
    <n v="0"/>
    <n v="299"/>
    <n v="25"/>
    <x v="2"/>
    <n v="1"/>
    <n v="4"/>
    <n v="57"/>
    <n v="2"/>
    <n v="3"/>
    <n v="2"/>
    <n v="9094"/>
    <n v="17235"/>
    <n v="2"/>
    <n v="12"/>
    <x v="0"/>
    <n v="3"/>
    <n v="80"/>
    <n v="0"/>
    <n v="9"/>
    <n v="3"/>
    <n v="5"/>
    <n v="4"/>
    <n v="1"/>
    <n v="0"/>
  </r>
  <r>
    <s v="Yes"/>
    <s v="Travel_Rarely"/>
    <x v="1"/>
    <s v="Ex-Employees"/>
    <x v="0"/>
    <x v="0"/>
    <s v="STAFF-1319"/>
    <n v="1319"/>
    <x v="1"/>
    <x v="0"/>
    <x v="0"/>
    <s v="Yes"/>
    <s v="Y"/>
    <n v="2"/>
    <n v="-2"/>
    <n v="0"/>
    <n v="52"/>
    <n v="1"/>
    <n v="1"/>
    <n v="1"/>
    <n v="0"/>
    <n v="1030"/>
    <n v="5"/>
    <x v="3"/>
    <n v="1"/>
    <n v="2"/>
    <n v="64"/>
    <n v="3"/>
    <n v="3"/>
    <n v="2"/>
    <n v="8446"/>
    <n v="21534"/>
    <n v="9"/>
    <n v="19"/>
    <x v="0"/>
    <n v="3"/>
    <n v="80"/>
    <n v="0"/>
    <n v="10"/>
    <n v="2"/>
    <n v="8"/>
    <n v="7"/>
    <n v="7"/>
    <n v="7"/>
  </r>
  <r>
    <s v="No"/>
    <s v="Travel_Rarely"/>
    <x v="2"/>
    <s v="Current Employees"/>
    <x v="1"/>
    <x v="2"/>
    <s v="STAFF-1321"/>
    <n v="1321"/>
    <x v="0"/>
    <x v="5"/>
    <x v="1"/>
    <s v="Yes"/>
    <s v="Y"/>
    <n v="2"/>
    <n v="-2"/>
    <n v="0"/>
    <n v="30"/>
    <n v="0"/>
    <m/>
    <n v="0"/>
    <n v="1"/>
    <n v="634"/>
    <n v="17"/>
    <x v="2"/>
    <n v="1"/>
    <n v="2"/>
    <n v="95"/>
    <n v="3"/>
    <n v="3"/>
    <n v="3"/>
    <n v="11916"/>
    <n v="25927"/>
    <n v="1"/>
    <n v="23"/>
    <x v="1"/>
    <n v="4"/>
    <n v="80"/>
    <n v="2"/>
    <n v="9"/>
    <n v="3"/>
    <n v="9"/>
    <n v="1"/>
    <n v="0"/>
    <n v="8"/>
  </r>
  <r>
    <s v="No"/>
    <s v="Travel_Rarely"/>
    <x v="0"/>
    <s v="Current Employees"/>
    <x v="1"/>
    <x v="0"/>
    <s v="STAFF-1322"/>
    <n v="1322"/>
    <x v="1"/>
    <x v="3"/>
    <x v="0"/>
    <s v="No"/>
    <s v="Y"/>
    <n v="6"/>
    <n v="-2"/>
    <n v="0"/>
    <n v="39"/>
    <n v="0"/>
    <m/>
    <n v="0"/>
    <n v="1"/>
    <n v="524"/>
    <n v="18"/>
    <x v="0"/>
    <n v="1"/>
    <n v="1"/>
    <n v="32"/>
    <n v="3"/>
    <n v="2"/>
    <n v="3"/>
    <n v="4534"/>
    <n v="13352"/>
    <n v="0"/>
    <n v="11"/>
    <x v="0"/>
    <n v="1"/>
    <n v="80"/>
    <n v="0"/>
    <n v="9"/>
    <n v="3"/>
    <n v="8"/>
    <n v="7"/>
    <n v="1"/>
    <n v="7"/>
  </r>
  <r>
    <s v="No"/>
    <s v="Non-Travel"/>
    <x v="2"/>
    <s v="Current Employees"/>
    <x v="0"/>
    <x v="0"/>
    <s v="STAFF-1324"/>
    <n v="1324"/>
    <x v="0"/>
    <x v="0"/>
    <x v="2"/>
    <s v="Yes"/>
    <s v="Y"/>
    <n v="5"/>
    <n v="-2"/>
    <n v="0"/>
    <n v="31"/>
    <n v="0"/>
    <m/>
    <n v="0"/>
    <n v="1"/>
    <n v="587"/>
    <n v="2"/>
    <x v="2"/>
    <n v="1"/>
    <n v="4"/>
    <n v="57"/>
    <n v="3"/>
    <n v="3"/>
    <n v="3"/>
    <n v="9852"/>
    <n v="8935"/>
    <n v="1"/>
    <n v="19"/>
    <x v="0"/>
    <n v="1"/>
    <n v="80"/>
    <n v="1"/>
    <n v="10"/>
    <n v="2"/>
    <n v="10"/>
    <n v="8"/>
    <n v="9"/>
    <n v="6"/>
  </r>
  <r>
    <s v="No"/>
    <s v="Non-Travel"/>
    <x v="0"/>
    <s v="Current Employees"/>
    <x v="0"/>
    <x v="2"/>
    <s v="STAFF-1329"/>
    <n v="1329"/>
    <x v="1"/>
    <x v="0"/>
    <x v="0"/>
    <s v="No"/>
    <s v="Y"/>
    <n v="4"/>
    <n v="-2"/>
    <n v="0"/>
    <n v="41"/>
    <n v="0"/>
    <m/>
    <n v="0"/>
    <n v="1"/>
    <n v="256"/>
    <n v="10"/>
    <x v="0"/>
    <n v="1"/>
    <n v="3"/>
    <n v="40"/>
    <n v="1"/>
    <n v="2"/>
    <n v="2"/>
    <n v="6151"/>
    <n v="22074"/>
    <n v="1"/>
    <n v="13"/>
    <x v="0"/>
    <n v="1"/>
    <n v="80"/>
    <n v="0"/>
    <n v="19"/>
    <n v="3"/>
    <n v="19"/>
    <n v="2"/>
    <n v="11"/>
    <n v="9"/>
  </r>
  <r>
    <s v="Yes"/>
    <s v="Travel_Frequently"/>
    <x v="2"/>
    <s v="Ex-Employees"/>
    <x v="0"/>
    <x v="0"/>
    <s v="STAFF-1331"/>
    <n v="1331"/>
    <x v="0"/>
    <x v="6"/>
    <x v="0"/>
    <s v="Yes"/>
    <s v="Y"/>
    <n v="2"/>
    <n v="-2"/>
    <n v="0"/>
    <n v="31"/>
    <n v="1"/>
    <n v="1"/>
    <n v="1"/>
    <n v="0"/>
    <n v="1060"/>
    <n v="1"/>
    <x v="3"/>
    <n v="1"/>
    <n v="4"/>
    <n v="54"/>
    <n v="3"/>
    <n v="1"/>
    <n v="2"/>
    <n v="2302"/>
    <n v="8319"/>
    <n v="1"/>
    <n v="11"/>
    <x v="0"/>
    <n v="1"/>
    <n v="80"/>
    <n v="0"/>
    <n v="3"/>
    <n v="4"/>
    <n v="3"/>
    <n v="2"/>
    <n v="2"/>
    <n v="2"/>
  </r>
  <r>
    <s v="Yes"/>
    <s v="Travel_Rarely"/>
    <x v="0"/>
    <s v="Ex-Employees"/>
    <x v="1"/>
    <x v="0"/>
    <s v="STAFF-1333"/>
    <n v="1333"/>
    <x v="1"/>
    <x v="2"/>
    <x v="1"/>
    <s v="No"/>
    <s v="Y"/>
    <n v="4"/>
    <n v="-2"/>
    <n v="0"/>
    <n v="44"/>
    <n v="1"/>
    <n v="1"/>
    <n v="1"/>
    <n v="0"/>
    <n v="935"/>
    <n v="3"/>
    <x v="3"/>
    <n v="1"/>
    <n v="1"/>
    <n v="89"/>
    <n v="3"/>
    <n v="1"/>
    <n v="3"/>
    <n v="2362"/>
    <n v="14669"/>
    <n v="4"/>
    <n v="12"/>
    <x v="0"/>
    <n v="3"/>
    <n v="80"/>
    <n v="0"/>
    <n v="10"/>
    <n v="4"/>
    <n v="3"/>
    <n v="2"/>
    <n v="1"/>
    <n v="2"/>
  </r>
  <r>
    <s v="No"/>
    <s v="Non-Travel"/>
    <x v="0"/>
    <s v="Current Employees"/>
    <x v="1"/>
    <x v="0"/>
    <s v="STAFF-1334"/>
    <n v="1334"/>
    <x v="1"/>
    <x v="5"/>
    <x v="1"/>
    <s v="Yes"/>
    <s v="Y"/>
    <n v="3"/>
    <n v="-2"/>
    <n v="0"/>
    <n v="42"/>
    <n v="0"/>
    <m/>
    <n v="0"/>
    <n v="1"/>
    <n v="495"/>
    <n v="2"/>
    <x v="1"/>
    <n v="1"/>
    <n v="3"/>
    <n v="37"/>
    <n v="3"/>
    <n v="4"/>
    <n v="3"/>
    <n v="17861"/>
    <n v="26582"/>
    <n v="0"/>
    <n v="13"/>
    <x v="0"/>
    <n v="4"/>
    <n v="80"/>
    <n v="0"/>
    <n v="21"/>
    <n v="2"/>
    <n v="20"/>
    <n v="8"/>
    <n v="2"/>
    <n v="10"/>
  </r>
  <r>
    <s v="No"/>
    <s v="Travel_Rarely"/>
    <x v="3"/>
    <s v="Current Employees"/>
    <x v="1"/>
    <x v="2"/>
    <s v="STAFF-1336"/>
    <n v="1336"/>
    <x v="0"/>
    <x v="5"/>
    <x v="1"/>
    <s v="No"/>
    <s v="Y"/>
    <n v="5"/>
    <n v="-2"/>
    <n v="0"/>
    <n v="55"/>
    <n v="0"/>
    <m/>
    <n v="0"/>
    <n v="1"/>
    <n v="282"/>
    <n v="2"/>
    <x v="0"/>
    <n v="1"/>
    <n v="4"/>
    <n v="58"/>
    <n v="1"/>
    <n v="5"/>
    <n v="3"/>
    <n v="19187"/>
    <n v="6992"/>
    <n v="4"/>
    <n v="14"/>
    <x v="0"/>
    <n v="4"/>
    <n v="80"/>
    <n v="1"/>
    <n v="23"/>
    <n v="3"/>
    <n v="19"/>
    <n v="9"/>
    <n v="9"/>
    <n v="11"/>
  </r>
  <r>
    <s v="No"/>
    <s v="Travel_Rarely"/>
    <x v="3"/>
    <s v="Current Employees"/>
    <x v="2"/>
    <x v="0"/>
    <s v="STAFF-1338"/>
    <n v="1338"/>
    <x v="1"/>
    <x v="5"/>
    <x v="0"/>
    <s v="No"/>
    <s v="Y"/>
    <n v="4"/>
    <n v="-2"/>
    <n v="0"/>
    <n v="56"/>
    <n v="0"/>
    <m/>
    <n v="0"/>
    <n v="1"/>
    <n v="206"/>
    <n v="8"/>
    <x v="2"/>
    <n v="1"/>
    <n v="4"/>
    <n v="99"/>
    <n v="3"/>
    <n v="5"/>
    <n v="2"/>
    <n v="19717"/>
    <n v="4022"/>
    <n v="6"/>
    <n v="14"/>
    <x v="0"/>
    <n v="1"/>
    <n v="80"/>
    <n v="0"/>
    <n v="36"/>
    <n v="3"/>
    <n v="7"/>
    <n v="3"/>
    <n v="7"/>
    <n v="7"/>
  </r>
  <r>
    <s v="No"/>
    <s v="Non-Travel"/>
    <x v="0"/>
    <s v="Current Employees"/>
    <x v="1"/>
    <x v="0"/>
    <s v="STAFF-1340"/>
    <n v="1340"/>
    <x v="1"/>
    <x v="1"/>
    <x v="2"/>
    <s v="No"/>
    <s v="Y"/>
    <n v="0"/>
    <n v="-2"/>
    <n v="0"/>
    <n v="40"/>
    <n v="0"/>
    <m/>
    <n v="0"/>
    <n v="1"/>
    <n v="458"/>
    <n v="16"/>
    <x v="0"/>
    <n v="1"/>
    <n v="3"/>
    <n v="74"/>
    <n v="3"/>
    <n v="1"/>
    <n v="3"/>
    <n v="3544"/>
    <n v="8532"/>
    <n v="9"/>
    <n v="16"/>
    <x v="0"/>
    <n v="2"/>
    <n v="80"/>
    <n v="1"/>
    <n v="6"/>
    <n v="3"/>
    <n v="4"/>
    <n v="2"/>
    <n v="0"/>
    <n v="0"/>
  </r>
  <r>
    <s v="No"/>
    <s v="Travel_Rarely"/>
    <x v="2"/>
    <s v="Current Employees"/>
    <x v="1"/>
    <x v="0"/>
    <s v="STAFF-1344"/>
    <n v="1344"/>
    <x v="1"/>
    <x v="4"/>
    <x v="2"/>
    <s v="No"/>
    <s v="Y"/>
    <n v="0"/>
    <n v="-2"/>
    <n v="0"/>
    <n v="34"/>
    <n v="0"/>
    <m/>
    <n v="0"/>
    <n v="1"/>
    <n v="943"/>
    <n v="9"/>
    <x v="3"/>
    <n v="1"/>
    <n v="4"/>
    <n v="86"/>
    <n v="3"/>
    <n v="3"/>
    <n v="4"/>
    <n v="8500"/>
    <n v="5494"/>
    <n v="0"/>
    <n v="11"/>
    <x v="0"/>
    <n v="4"/>
    <n v="80"/>
    <n v="1"/>
    <n v="10"/>
    <n v="2"/>
    <n v="9"/>
    <n v="7"/>
    <n v="1"/>
    <n v="6"/>
  </r>
  <r>
    <s v="No"/>
    <s v="Travel_Rarely"/>
    <x v="0"/>
    <s v="Current Employees"/>
    <x v="1"/>
    <x v="0"/>
    <s v="STAFF-1346"/>
    <n v="1346"/>
    <x v="1"/>
    <x v="1"/>
    <x v="0"/>
    <s v="No"/>
    <s v="Y"/>
    <n v="4"/>
    <n v="-2"/>
    <n v="0"/>
    <n v="40"/>
    <n v="0"/>
    <m/>
    <n v="0"/>
    <n v="1"/>
    <n v="523"/>
    <n v="2"/>
    <x v="3"/>
    <n v="1"/>
    <n v="3"/>
    <n v="98"/>
    <n v="3"/>
    <n v="2"/>
    <n v="4"/>
    <n v="4661"/>
    <n v="22455"/>
    <n v="1"/>
    <n v="13"/>
    <x v="0"/>
    <n v="3"/>
    <n v="80"/>
    <n v="0"/>
    <n v="9"/>
    <n v="3"/>
    <n v="9"/>
    <n v="8"/>
    <n v="8"/>
    <n v="8"/>
  </r>
  <r>
    <s v="No"/>
    <s v="Travel_Frequently"/>
    <x v="0"/>
    <s v="Current Employees"/>
    <x v="0"/>
    <x v="3"/>
    <s v="STAFF-1349"/>
    <n v="1349"/>
    <x v="0"/>
    <x v="0"/>
    <x v="2"/>
    <s v="No"/>
    <s v="Y"/>
    <n v="2"/>
    <n v="-2"/>
    <n v="0"/>
    <n v="41"/>
    <n v="0"/>
    <m/>
    <n v="0"/>
    <n v="1"/>
    <n v="1018"/>
    <n v="1"/>
    <x v="3"/>
    <n v="1"/>
    <n v="3"/>
    <n v="66"/>
    <n v="3"/>
    <n v="2"/>
    <n v="2"/>
    <n v="4103"/>
    <n v="4297"/>
    <n v="0"/>
    <n v="17"/>
    <x v="0"/>
    <n v="4"/>
    <n v="80"/>
    <n v="1"/>
    <n v="10"/>
    <n v="3"/>
    <n v="9"/>
    <n v="3"/>
    <n v="1"/>
    <n v="7"/>
  </r>
  <r>
    <s v="No"/>
    <s v="Travel_Frequently"/>
    <x v="0"/>
    <s v="Current Employees"/>
    <x v="1"/>
    <x v="0"/>
    <s v="STAFF-1350"/>
    <n v="1350"/>
    <x v="1"/>
    <x v="1"/>
    <x v="0"/>
    <s v="Yes"/>
    <s v="Y"/>
    <n v="3"/>
    <n v="-2"/>
    <n v="0"/>
    <n v="35"/>
    <n v="0"/>
    <m/>
    <n v="0"/>
    <n v="1"/>
    <n v="482"/>
    <n v="4"/>
    <x v="2"/>
    <n v="1"/>
    <n v="3"/>
    <n v="87"/>
    <n v="3"/>
    <n v="2"/>
    <n v="3"/>
    <n v="4249"/>
    <n v="2690"/>
    <n v="1"/>
    <n v="11"/>
    <x v="0"/>
    <n v="2"/>
    <n v="80"/>
    <n v="0"/>
    <n v="9"/>
    <n v="3"/>
    <n v="9"/>
    <n v="6"/>
    <n v="1"/>
    <n v="1"/>
  </r>
  <r>
    <s v="No"/>
    <s v="Travel_Rarely"/>
    <x v="1"/>
    <s v="Current Employees"/>
    <x v="2"/>
    <x v="0"/>
    <s v="STAFF-1352"/>
    <n v="1352"/>
    <x v="1"/>
    <x v="5"/>
    <x v="2"/>
    <s v="Yes"/>
    <s v="Y"/>
    <n v="2"/>
    <n v="-2"/>
    <n v="0"/>
    <n v="51"/>
    <n v="0"/>
    <m/>
    <n v="0"/>
    <n v="1"/>
    <n v="770"/>
    <n v="5"/>
    <x v="3"/>
    <n v="1"/>
    <n v="3"/>
    <n v="84"/>
    <n v="3"/>
    <n v="4"/>
    <n v="2"/>
    <n v="14026"/>
    <n v="17588"/>
    <n v="1"/>
    <n v="11"/>
    <x v="0"/>
    <n v="2"/>
    <n v="80"/>
    <n v="1"/>
    <n v="33"/>
    <n v="3"/>
    <n v="33"/>
    <n v="9"/>
    <n v="0"/>
    <n v="10"/>
  </r>
  <r>
    <s v="No"/>
    <s v="Travel_Rarely"/>
    <x v="0"/>
    <s v="Current Employees"/>
    <x v="0"/>
    <x v="0"/>
    <s v="STAFF-1355"/>
    <n v="1355"/>
    <x v="0"/>
    <x v="0"/>
    <x v="2"/>
    <s v="No"/>
    <s v="Y"/>
    <n v="3"/>
    <n v="-2"/>
    <n v="0"/>
    <n v="38"/>
    <n v="0"/>
    <m/>
    <n v="0"/>
    <n v="1"/>
    <n v="1009"/>
    <n v="2"/>
    <x v="0"/>
    <n v="1"/>
    <n v="2"/>
    <n v="31"/>
    <n v="3"/>
    <n v="2"/>
    <n v="3"/>
    <n v="6893"/>
    <n v="19461"/>
    <n v="3"/>
    <n v="15"/>
    <x v="0"/>
    <n v="4"/>
    <n v="80"/>
    <n v="1"/>
    <n v="11"/>
    <n v="3"/>
    <n v="7"/>
    <n v="7"/>
    <n v="1"/>
    <n v="7"/>
  </r>
  <r>
    <s v="No"/>
    <s v="Travel_Rarely"/>
    <x v="2"/>
    <s v="Current Employees"/>
    <x v="0"/>
    <x v="2"/>
    <s v="STAFF-1356"/>
    <n v="1356"/>
    <x v="0"/>
    <x v="0"/>
    <x v="0"/>
    <s v="No"/>
    <s v="Y"/>
    <n v="6"/>
    <n v="-2"/>
    <n v="0"/>
    <n v="34"/>
    <n v="0"/>
    <m/>
    <n v="0"/>
    <n v="1"/>
    <n v="507"/>
    <n v="15"/>
    <x v="0"/>
    <n v="1"/>
    <n v="3"/>
    <n v="66"/>
    <n v="3"/>
    <n v="2"/>
    <n v="3"/>
    <n v="6125"/>
    <n v="23553"/>
    <n v="1"/>
    <n v="12"/>
    <x v="0"/>
    <n v="4"/>
    <n v="80"/>
    <n v="0"/>
    <n v="10"/>
    <n v="4"/>
    <n v="10"/>
    <n v="8"/>
    <n v="9"/>
    <n v="6"/>
  </r>
  <r>
    <s v="No"/>
    <s v="Travel_Rarely"/>
    <x v="2"/>
    <s v="Current Employees"/>
    <x v="1"/>
    <x v="2"/>
    <s v="STAFF-1358"/>
    <n v="1358"/>
    <x v="1"/>
    <x v="2"/>
    <x v="1"/>
    <s v="No"/>
    <s v="Y"/>
    <n v="6"/>
    <n v="-2"/>
    <n v="0"/>
    <n v="25"/>
    <n v="0"/>
    <m/>
    <n v="0"/>
    <n v="1"/>
    <n v="882"/>
    <n v="19"/>
    <x v="1"/>
    <n v="1"/>
    <n v="4"/>
    <n v="67"/>
    <n v="3"/>
    <n v="1"/>
    <n v="4"/>
    <n v="3669"/>
    <n v="9075"/>
    <n v="3"/>
    <n v="11"/>
    <x v="0"/>
    <n v="3"/>
    <n v="80"/>
    <n v="3"/>
    <n v="7"/>
    <n v="2"/>
    <n v="3"/>
    <n v="2"/>
    <n v="1"/>
    <n v="2"/>
  </r>
  <r>
    <s v="Yes"/>
    <s v="Travel_Rarely"/>
    <x v="3"/>
    <s v="Ex-Employees"/>
    <x v="1"/>
    <x v="2"/>
    <s v="STAFF-1360"/>
    <n v="1360"/>
    <x v="0"/>
    <x v="3"/>
    <x v="1"/>
    <s v="Yes"/>
    <s v="Y"/>
    <n v="0"/>
    <n v="-2"/>
    <n v="0"/>
    <n v="58"/>
    <n v="1"/>
    <n v="1"/>
    <n v="1"/>
    <n v="0"/>
    <n v="601"/>
    <n v="7"/>
    <x v="2"/>
    <n v="1"/>
    <n v="3"/>
    <n v="53"/>
    <n v="2"/>
    <n v="3"/>
    <n v="3"/>
    <n v="10008"/>
    <n v="12023"/>
    <n v="7"/>
    <n v="14"/>
    <x v="0"/>
    <n v="4"/>
    <n v="80"/>
    <n v="0"/>
    <n v="31"/>
    <n v="2"/>
    <n v="10"/>
    <n v="9"/>
    <n v="5"/>
    <n v="9"/>
  </r>
  <r>
    <s v="No"/>
    <s v="Travel_Rarely"/>
    <x v="0"/>
    <s v="Current Employees"/>
    <x v="1"/>
    <x v="0"/>
    <s v="STAFF-1361"/>
    <n v="1361"/>
    <x v="1"/>
    <x v="2"/>
    <x v="1"/>
    <s v="No"/>
    <s v="Y"/>
    <n v="3"/>
    <n v="-2"/>
    <n v="0"/>
    <n v="40"/>
    <n v="0"/>
    <m/>
    <n v="0"/>
    <n v="1"/>
    <n v="329"/>
    <n v="1"/>
    <x v="2"/>
    <n v="1"/>
    <n v="2"/>
    <n v="88"/>
    <n v="3"/>
    <n v="1"/>
    <n v="2"/>
    <n v="2387"/>
    <n v="6762"/>
    <n v="3"/>
    <n v="22"/>
    <x v="1"/>
    <n v="3"/>
    <n v="80"/>
    <n v="1"/>
    <n v="7"/>
    <n v="3"/>
    <n v="4"/>
    <n v="2"/>
    <n v="0"/>
    <n v="3"/>
  </r>
  <r>
    <s v="No"/>
    <s v="Travel_Frequently"/>
    <x v="0"/>
    <s v="Current Employees"/>
    <x v="0"/>
    <x v="3"/>
    <s v="STAFF-1362"/>
    <n v="1362"/>
    <x v="0"/>
    <x v="0"/>
    <x v="1"/>
    <s v="No"/>
    <s v="Y"/>
    <n v="2"/>
    <n v="-2"/>
    <n v="0"/>
    <n v="36"/>
    <n v="0"/>
    <m/>
    <n v="0"/>
    <n v="1"/>
    <n v="607"/>
    <n v="7"/>
    <x v="3"/>
    <n v="1"/>
    <n v="1"/>
    <n v="83"/>
    <n v="4"/>
    <n v="2"/>
    <n v="2"/>
    <n v="4639"/>
    <n v="2261"/>
    <n v="2"/>
    <n v="16"/>
    <x v="0"/>
    <n v="4"/>
    <n v="80"/>
    <n v="1"/>
    <n v="17"/>
    <n v="2"/>
    <n v="15"/>
    <n v="7"/>
    <n v="6"/>
    <n v="13"/>
  </r>
  <r>
    <s v="No"/>
    <s v="Travel_Rarely"/>
    <x v="1"/>
    <s v="Current Employees"/>
    <x v="1"/>
    <x v="0"/>
    <s v="STAFF-1363"/>
    <n v="1363"/>
    <x v="1"/>
    <x v="3"/>
    <x v="0"/>
    <s v="No"/>
    <s v="Y"/>
    <n v="2"/>
    <n v="-2"/>
    <n v="0"/>
    <n v="48"/>
    <n v="0"/>
    <m/>
    <n v="0"/>
    <n v="1"/>
    <n v="855"/>
    <n v="4"/>
    <x v="3"/>
    <n v="1"/>
    <n v="4"/>
    <n v="54"/>
    <n v="3"/>
    <n v="3"/>
    <n v="4"/>
    <n v="7898"/>
    <n v="18706"/>
    <n v="1"/>
    <n v="11"/>
    <x v="0"/>
    <n v="3"/>
    <n v="80"/>
    <n v="0"/>
    <n v="11"/>
    <n v="3"/>
    <n v="10"/>
    <n v="9"/>
    <n v="0"/>
    <n v="8"/>
  </r>
  <r>
    <s v="No"/>
    <s v="Travel_Rarely"/>
    <x v="2"/>
    <s v="Current Employees"/>
    <x v="0"/>
    <x v="2"/>
    <s v="STAFF-1364"/>
    <n v="1364"/>
    <x v="0"/>
    <x v="6"/>
    <x v="1"/>
    <s v="No"/>
    <s v="Y"/>
    <n v="4"/>
    <n v="-2"/>
    <n v="0"/>
    <n v="27"/>
    <n v="0"/>
    <m/>
    <n v="0"/>
    <n v="1"/>
    <n v="1291"/>
    <n v="11"/>
    <x v="3"/>
    <n v="1"/>
    <n v="3"/>
    <n v="98"/>
    <n v="4"/>
    <n v="1"/>
    <n v="4"/>
    <n v="2534"/>
    <n v="6527"/>
    <n v="8"/>
    <n v="14"/>
    <x v="0"/>
    <n v="2"/>
    <n v="80"/>
    <n v="1"/>
    <n v="5"/>
    <n v="3"/>
    <n v="1"/>
    <n v="0"/>
    <n v="0"/>
    <n v="0"/>
  </r>
  <r>
    <s v="No"/>
    <s v="Travel_Rarely"/>
    <x v="1"/>
    <s v="Current Employees"/>
    <x v="1"/>
    <x v="4"/>
    <s v="STAFF-1367"/>
    <n v="1367"/>
    <x v="0"/>
    <x v="3"/>
    <x v="0"/>
    <s v="No"/>
    <s v="Y"/>
    <n v="1"/>
    <n v="-2"/>
    <n v="0"/>
    <n v="51"/>
    <n v="0"/>
    <m/>
    <n v="0"/>
    <n v="1"/>
    <n v="1405"/>
    <n v="11"/>
    <x v="0"/>
    <n v="1"/>
    <n v="4"/>
    <n v="82"/>
    <n v="2"/>
    <n v="4"/>
    <n v="4"/>
    <n v="13142"/>
    <n v="24439"/>
    <n v="3"/>
    <n v="16"/>
    <x v="0"/>
    <n v="2"/>
    <n v="80"/>
    <n v="0"/>
    <n v="29"/>
    <n v="2"/>
    <n v="5"/>
    <n v="2"/>
    <n v="0"/>
    <n v="3"/>
  </r>
  <r>
    <s v="No"/>
    <s v="Non-Travel"/>
    <x v="4"/>
    <s v="Current Employees"/>
    <x v="1"/>
    <x v="0"/>
    <s v="STAFF-1368"/>
    <n v="1368"/>
    <x v="0"/>
    <x v="2"/>
    <x v="0"/>
    <s v="No"/>
    <s v="Y"/>
    <n v="5"/>
    <n v="-2"/>
    <n v="0"/>
    <n v="18"/>
    <n v="0"/>
    <m/>
    <n v="0"/>
    <n v="1"/>
    <n v="1124"/>
    <n v="1"/>
    <x v="3"/>
    <n v="1"/>
    <n v="4"/>
    <n v="97"/>
    <n v="3"/>
    <n v="1"/>
    <n v="4"/>
    <n v="1611"/>
    <n v="19305"/>
    <n v="1"/>
    <n v="15"/>
    <x v="0"/>
    <n v="3"/>
    <n v="80"/>
    <n v="0"/>
    <n v="0"/>
    <n v="4"/>
    <n v="0"/>
    <n v="0"/>
    <n v="0"/>
    <n v="0"/>
  </r>
  <r>
    <s v="No"/>
    <s v="Travel_Rarely"/>
    <x v="0"/>
    <s v="Current Employees"/>
    <x v="1"/>
    <x v="2"/>
    <s v="STAFF-1369"/>
    <n v="1369"/>
    <x v="0"/>
    <x v="2"/>
    <x v="1"/>
    <s v="No"/>
    <s v="Y"/>
    <n v="0"/>
    <n v="-2"/>
    <n v="0"/>
    <n v="35"/>
    <n v="0"/>
    <m/>
    <n v="0"/>
    <n v="1"/>
    <n v="817"/>
    <n v="1"/>
    <x v="3"/>
    <n v="1"/>
    <n v="4"/>
    <n v="60"/>
    <n v="2"/>
    <n v="2"/>
    <n v="4"/>
    <n v="5363"/>
    <n v="10846"/>
    <n v="0"/>
    <n v="12"/>
    <x v="0"/>
    <n v="2"/>
    <n v="80"/>
    <n v="1"/>
    <n v="10"/>
    <n v="3"/>
    <n v="9"/>
    <n v="7"/>
    <n v="0"/>
    <n v="0"/>
  </r>
  <r>
    <s v="No"/>
    <s v="Travel_Frequently"/>
    <x v="2"/>
    <s v="Current Employees"/>
    <x v="0"/>
    <x v="0"/>
    <s v="STAFF-1371"/>
    <n v="1371"/>
    <x v="1"/>
    <x v="0"/>
    <x v="0"/>
    <s v="No"/>
    <s v="Y"/>
    <n v="3"/>
    <n v="-2"/>
    <n v="0"/>
    <n v="27"/>
    <n v="0"/>
    <m/>
    <n v="0"/>
    <n v="1"/>
    <n v="793"/>
    <n v="2"/>
    <x v="1"/>
    <n v="1"/>
    <n v="4"/>
    <n v="43"/>
    <n v="1"/>
    <n v="2"/>
    <n v="4"/>
    <n v="5071"/>
    <n v="20392"/>
    <n v="3"/>
    <n v="20"/>
    <x v="1"/>
    <n v="2"/>
    <n v="80"/>
    <n v="0"/>
    <n v="8"/>
    <n v="3"/>
    <n v="6"/>
    <n v="2"/>
    <n v="0"/>
    <n v="0"/>
  </r>
  <r>
    <s v="Yes"/>
    <s v="Travel_Rarely"/>
    <x v="3"/>
    <s v="Ex-Employees"/>
    <x v="0"/>
    <x v="3"/>
    <s v="STAFF-1372"/>
    <n v="1372"/>
    <x v="1"/>
    <x v="0"/>
    <x v="0"/>
    <s v="Yes"/>
    <s v="Y"/>
    <n v="2"/>
    <n v="-2"/>
    <n v="0"/>
    <n v="55"/>
    <n v="1"/>
    <n v="1"/>
    <n v="1"/>
    <n v="0"/>
    <n v="267"/>
    <n v="13"/>
    <x v="2"/>
    <n v="1"/>
    <n v="1"/>
    <n v="85"/>
    <n v="4"/>
    <n v="4"/>
    <n v="2"/>
    <n v="13695"/>
    <n v="9277"/>
    <n v="6"/>
    <n v="17"/>
    <x v="0"/>
    <n v="3"/>
    <n v="80"/>
    <n v="0"/>
    <n v="24"/>
    <n v="2"/>
    <n v="19"/>
    <n v="7"/>
    <n v="3"/>
    <n v="8"/>
  </r>
  <r>
    <s v="No"/>
    <s v="Travel_Rarely"/>
    <x v="3"/>
    <s v="Current Employees"/>
    <x v="1"/>
    <x v="0"/>
    <s v="STAFF-1373"/>
    <n v="1373"/>
    <x v="1"/>
    <x v="3"/>
    <x v="1"/>
    <s v="Yes"/>
    <s v="Y"/>
    <n v="0"/>
    <n v="-2"/>
    <n v="0"/>
    <n v="56"/>
    <n v="0"/>
    <m/>
    <n v="0"/>
    <n v="1"/>
    <n v="1369"/>
    <n v="23"/>
    <x v="3"/>
    <n v="1"/>
    <n v="4"/>
    <n v="68"/>
    <n v="3"/>
    <n v="4"/>
    <n v="2"/>
    <n v="13402"/>
    <n v="18235"/>
    <n v="4"/>
    <n v="12"/>
    <x v="0"/>
    <n v="1"/>
    <n v="80"/>
    <n v="1"/>
    <n v="33"/>
    <n v="3"/>
    <n v="19"/>
    <n v="16"/>
    <n v="15"/>
    <n v="9"/>
  </r>
  <r>
    <s v="No"/>
    <s v="Non-Travel"/>
    <x v="2"/>
    <s v="Current Employees"/>
    <x v="1"/>
    <x v="4"/>
    <s v="STAFF-1374"/>
    <n v="1374"/>
    <x v="0"/>
    <x v="1"/>
    <x v="2"/>
    <s v="No"/>
    <s v="Y"/>
    <n v="2"/>
    <n v="-2"/>
    <n v="0"/>
    <n v="34"/>
    <n v="0"/>
    <m/>
    <n v="0"/>
    <n v="1"/>
    <n v="999"/>
    <n v="26"/>
    <x v="1"/>
    <n v="1"/>
    <n v="4"/>
    <n v="92"/>
    <n v="2"/>
    <n v="1"/>
    <n v="4"/>
    <n v="2029"/>
    <n v="15891"/>
    <n v="1"/>
    <n v="20"/>
    <x v="1"/>
    <n v="3"/>
    <n v="80"/>
    <n v="3"/>
    <n v="5"/>
    <n v="3"/>
    <n v="5"/>
    <n v="4"/>
    <n v="0"/>
    <n v="0"/>
  </r>
  <r>
    <s v="No"/>
    <s v="Travel_Rarely"/>
    <x v="0"/>
    <s v="Current Employees"/>
    <x v="1"/>
    <x v="2"/>
    <s v="STAFF-1375"/>
    <n v="1375"/>
    <x v="0"/>
    <x v="4"/>
    <x v="2"/>
    <s v="No"/>
    <s v="Y"/>
    <n v="0"/>
    <n v="-2"/>
    <n v="0"/>
    <n v="40"/>
    <n v="0"/>
    <m/>
    <n v="0"/>
    <n v="1"/>
    <n v="1202"/>
    <n v="2"/>
    <x v="1"/>
    <n v="1"/>
    <n v="2"/>
    <n v="89"/>
    <n v="4"/>
    <n v="2"/>
    <n v="3"/>
    <n v="6377"/>
    <n v="13888"/>
    <n v="5"/>
    <n v="20"/>
    <x v="1"/>
    <n v="2"/>
    <n v="80"/>
    <n v="3"/>
    <n v="15"/>
    <n v="3"/>
    <n v="12"/>
    <n v="11"/>
    <n v="11"/>
    <n v="8"/>
  </r>
  <r>
    <s v="No"/>
    <s v="Travel_Rarely"/>
    <x v="2"/>
    <s v="Current Employees"/>
    <x v="1"/>
    <x v="2"/>
    <s v="STAFF-1377"/>
    <n v="1377"/>
    <x v="1"/>
    <x v="2"/>
    <x v="1"/>
    <s v="No"/>
    <s v="Y"/>
    <n v="1"/>
    <n v="-2"/>
    <n v="0"/>
    <n v="34"/>
    <n v="0"/>
    <m/>
    <n v="0"/>
    <n v="1"/>
    <n v="285"/>
    <n v="29"/>
    <x v="3"/>
    <n v="1"/>
    <n v="2"/>
    <n v="86"/>
    <n v="3"/>
    <n v="2"/>
    <n v="3"/>
    <n v="5429"/>
    <n v="17491"/>
    <n v="4"/>
    <n v="13"/>
    <x v="0"/>
    <n v="1"/>
    <n v="80"/>
    <n v="2"/>
    <n v="10"/>
    <n v="3"/>
    <n v="8"/>
    <n v="7"/>
    <n v="7"/>
    <n v="7"/>
  </r>
  <r>
    <s v="Yes"/>
    <s v="Travel_Frequently"/>
    <x v="2"/>
    <s v="Ex-Employees"/>
    <x v="0"/>
    <x v="0"/>
    <s v="STAFF-1379"/>
    <n v="1379"/>
    <x v="0"/>
    <x v="6"/>
    <x v="0"/>
    <s v="No"/>
    <s v="Y"/>
    <n v="3"/>
    <n v="-2"/>
    <n v="0"/>
    <n v="31"/>
    <n v="1"/>
    <n v="1"/>
    <n v="1"/>
    <n v="0"/>
    <n v="703"/>
    <n v="2"/>
    <x v="3"/>
    <n v="1"/>
    <n v="3"/>
    <n v="90"/>
    <n v="2"/>
    <n v="1"/>
    <n v="4"/>
    <n v="2785"/>
    <n v="11882"/>
    <n v="7"/>
    <n v="14"/>
    <x v="0"/>
    <n v="3"/>
    <n v="80"/>
    <n v="0"/>
    <n v="3"/>
    <n v="4"/>
    <n v="1"/>
    <n v="0"/>
    <n v="0"/>
    <n v="0"/>
  </r>
  <r>
    <s v="Yes"/>
    <s v="Travel_Frequently"/>
    <x v="0"/>
    <s v="Ex-Employees"/>
    <x v="0"/>
    <x v="3"/>
    <s v="STAFF-1380"/>
    <n v="1380"/>
    <x v="0"/>
    <x v="0"/>
    <x v="1"/>
    <s v="Yes"/>
    <s v="Y"/>
    <n v="0"/>
    <n v="-2"/>
    <n v="0"/>
    <n v="35"/>
    <n v="1"/>
    <n v="1"/>
    <n v="1"/>
    <n v="0"/>
    <n v="662"/>
    <n v="18"/>
    <x v="2"/>
    <n v="1"/>
    <n v="4"/>
    <n v="67"/>
    <n v="3"/>
    <n v="2"/>
    <n v="2"/>
    <n v="4614"/>
    <n v="23288"/>
    <n v="0"/>
    <n v="18"/>
    <x v="0"/>
    <n v="3"/>
    <n v="80"/>
    <n v="1"/>
    <n v="5"/>
    <n v="2"/>
    <n v="4"/>
    <n v="2"/>
    <n v="3"/>
    <n v="2"/>
  </r>
  <r>
    <s v="No"/>
    <s v="Travel_Frequently"/>
    <x v="0"/>
    <s v="Current Employees"/>
    <x v="1"/>
    <x v="0"/>
    <s v="STAFF-1382"/>
    <n v="1382"/>
    <x v="1"/>
    <x v="1"/>
    <x v="2"/>
    <s v="No"/>
    <s v="Y"/>
    <n v="2"/>
    <n v="-2"/>
    <n v="0"/>
    <n v="38"/>
    <n v="0"/>
    <m/>
    <n v="0"/>
    <n v="1"/>
    <n v="693"/>
    <n v="7"/>
    <x v="3"/>
    <n v="1"/>
    <n v="4"/>
    <n v="57"/>
    <n v="4"/>
    <n v="1"/>
    <n v="3"/>
    <n v="2610"/>
    <n v="15748"/>
    <n v="1"/>
    <n v="11"/>
    <x v="0"/>
    <n v="4"/>
    <n v="80"/>
    <n v="3"/>
    <n v="4"/>
    <n v="3"/>
    <n v="4"/>
    <n v="2"/>
    <n v="0"/>
    <n v="3"/>
  </r>
  <r>
    <s v="No"/>
    <s v="Travel_Rarely"/>
    <x v="2"/>
    <s v="Current Employees"/>
    <x v="1"/>
    <x v="4"/>
    <s v="STAFF-1383"/>
    <n v="1383"/>
    <x v="0"/>
    <x v="4"/>
    <x v="0"/>
    <s v="No"/>
    <s v="Y"/>
    <n v="2"/>
    <n v="-2"/>
    <n v="0"/>
    <n v="34"/>
    <n v="0"/>
    <m/>
    <n v="0"/>
    <n v="1"/>
    <n v="404"/>
    <n v="2"/>
    <x v="2"/>
    <n v="1"/>
    <n v="4"/>
    <n v="98"/>
    <n v="3"/>
    <n v="2"/>
    <n v="4"/>
    <n v="6687"/>
    <n v="6163"/>
    <n v="1"/>
    <n v="11"/>
    <x v="0"/>
    <n v="4"/>
    <n v="80"/>
    <n v="0"/>
    <n v="14"/>
    <n v="4"/>
    <n v="14"/>
    <n v="11"/>
    <n v="4"/>
    <n v="11"/>
  </r>
  <r>
    <s v="No"/>
    <s v="Travel_Rarely"/>
    <x v="2"/>
    <s v="Current Employees"/>
    <x v="0"/>
    <x v="0"/>
    <s v="STAFF-1387"/>
    <n v="1387"/>
    <x v="1"/>
    <x v="0"/>
    <x v="1"/>
    <s v="No"/>
    <s v="Y"/>
    <n v="0"/>
    <n v="-2"/>
    <n v="0"/>
    <n v="28"/>
    <n v="0"/>
    <m/>
    <n v="0"/>
    <n v="1"/>
    <n v="736"/>
    <n v="26"/>
    <x v="3"/>
    <n v="1"/>
    <n v="3"/>
    <n v="48"/>
    <n v="2"/>
    <n v="2"/>
    <n v="3"/>
    <n v="4724"/>
    <n v="24232"/>
    <n v="1"/>
    <n v="11"/>
    <x v="0"/>
    <n v="3"/>
    <n v="80"/>
    <n v="1"/>
    <n v="5"/>
    <n v="3"/>
    <n v="5"/>
    <n v="3"/>
    <n v="0"/>
    <n v="4"/>
  </r>
  <r>
    <s v="Yes"/>
    <s v="Travel_Rarely"/>
    <x v="2"/>
    <s v="Ex-Employees"/>
    <x v="1"/>
    <x v="2"/>
    <s v="STAFF-1389"/>
    <n v="1389"/>
    <x v="1"/>
    <x v="3"/>
    <x v="1"/>
    <s v="Yes"/>
    <s v="Y"/>
    <n v="3"/>
    <n v="-2"/>
    <n v="0"/>
    <n v="31"/>
    <n v="1"/>
    <n v="1"/>
    <n v="1"/>
    <n v="0"/>
    <n v="330"/>
    <n v="22"/>
    <x v="2"/>
    <n v="1"/>
    <n v="4"/>
    <n v="98"/>
    <n v="3"/>
    <n v="2"/>
    <n v="3"/>
    <n v="6179"/>
    <n v="21057"/>
    <n v="1"/>
    <n v="15"/>
    <x v="0"/>
    <n v="4"/>
    <n v="80"/>
    <n v="2"/>
    <n v="10"/>
    <n v="2"/>
    <n v="10"/>
    <n v="2"/>
    <n v="6"/>
    <n v="7"/>
  </r>
  <r>
    <s v="No"/>
    <s v="Travel_Rarely"/>
    <x v="0"/>
    <s v="Current Employees"/>
    <x v="0"/>
    <x v="0"/>
    <s v="STAFF-1390"/>
    <n v="1390"/>
    <x v="1"/>
    <x v="0"/>
    <x v="1"/>
    <s v="Yes"/>
    <s v="Y"/>
    <n v="2"/>
    <n v="-2"/>
    <n v="0"/>
    <n v="39"/>
    <n v="0"/>
    <m/>
    <n v="0"/>
    <n v="1"/>
    <n v="1498"/>
    <n v="21"/>
    <x v="2"/>
    <n v="1"/>
    <n v="1"/>
    <n v="44"/>
    <n v="2"/>
    <n v="2"/>
    <n v="4"/>
    <n v="6120"/>
    <n v="3567"/>
    <n v="3"/>
    <n v="12"/>
    <x v="0"/>
    <n v="4"/>
    <n v="80"/>
    <n v="2"/>
    <n v="8"/>
    <n v="4"/>
    <n v="5"/>
    <n v="4"/>
    <n v="1"/>
    <n v="4"/>
  </r>
  <r>
    <s v="No"/>
    <s v="Travel_Frequently"/>
    <x v="1"/>
    <s v="Current Employees"/>
    <x v="0"/>
    <x v="3"/>
    <s v="STAFF-1391"/>
    <n v="1391"/>
    <x v="1"/>
    <x v="0"/>
    <x v="1"/>
    <s v="No"/>
    <s v="Y"/>
    <n v="5"/>
    <n v="-2"/>
    <n v="0"/>
    <n v="51"/>
    <n v="0"/>
    <m/>
    <n v="0"/>
    <n v="1"/>
    <n v="541"/>
    <n v="2"/>
    <x v="3"/>
    <n v="1"/>
    <n v="2"/>
    <n v="52"/>
    <n v="3"/>
    <n v="3"/>
    <n v="2"/>
    <n v="10596"/>
    <n v="15395"/>
    <n v="2"/>
    <n v="11"/>
    <x v="0"/>
    <n v="2"/>
    <n v="80"/>
    <n v="0"/>
    <n v="14"/>
    <n v="3"/>
    <n v="4"/>
    <n v="2"/>
    <n v="3"/>
    <n v="2"/>
  </r>
  <r>
    <s v="No"/>
    <s v="Travel_Frequently"/>
    <x v="0"/>
    <s v="Current Employees"/>
    <x v="1"/>
    <x v="0"/>
    <s v="STAFF-1392"/>
    <n v="1392"/>
    <x v="0"/>
    <x v="1"/>
    <x v="2"/>
    <s v="Yes"/>
    <s v="Y"/>
    <n v="4"/>
    <n v="-2"/>
    <n v="0"/>
    <n v="41"/>
    <n v="0"/>
    <m/>
    <n v="0"/>
    <n v="1"/>
    <n v="1200"/>
    <n v="22"/>
    <x v="3"/>
    <n v="1"/>
    <n v="4"/>
    <n v="75"/>
    <n v="3"/>
    <n v="2"/>
    <n v="4"/>
    <n v="5467"/>
    <n v="13953"/>
    <n v="3"/>
    <n v="14"/>
    <x v="0"/>
    <n v="1"/>
    <n v="80"/>
    <n v="2"/>
    <n v="12"/>
    <n v="2"/>
    <n v="6"/>
    <n v="2"/>
    <n v="3"/>
    <n v="3"/>
  </r>
  <r>
    <s v="No"/>
    <s v="Travel_Rarely"/>
    <x v="0"/>
    <s v="Current Employees"/>
    <x v="1"/>
    <x v="0"/>
    <s v="STAFF-1394"/>
    <n v="1394"/>
    <x v="1"/>
    <x v="1"/>
    <x v="1"/>
    <s v="Yes"/>
    <s v="Y"/>
    <n v="2"/>
    <n v="-2"/>
    <n v="0"/>
    <n v="37"/>
    <n v="0"/>
    <m/>
    <n v="0"/>
    <n v="1"/>
    <n v="1439"/>
    <n v="4"/>
    <x v="1"/>
    <n v="1"/>
    <n v="3"/>
    <n v="54"/>
    <n v="3"/>
    <n v="1"/>
    <n v="3"/>
    <n v="2996"/>
    <n v="5182"/>
    <n v="7"/>
    <n v="15"/>
    <x v="0"/>
    <n v="4"/>
    <n v="80"/>
    <n v="0"/>
    <n v="8"/>
    <n v="3"/>
    <n v="6"/>
    <n v="4"/>
    <n v="1"/>
    <n v="3"/>
  </r>
  <r>
    <s v="No"/>
    <s v="Travel_Frequently"/>
    <x v="2"/>
    <s v="Current Employees"/>
    <x v="0"/>
    <x v="0"/>
    <s v="STAFF-1395"/>
    <n v="1395"/>
    <x v="1"/>
    <x v="0"/>
    <x v="1"/>
    <s v="No"/>
    <s v="Y"/>
    <n v="2"/>
    <n v="-2"/>
    <n v="0"/>
    <n v="33"/>
    <n v="0"/>
    <m/>
    <n v="0"/>
    <n v="1"/>
    <n v="1111"/>
    <n v="5"/>
    <x v="1"/>
    <n v="1"/>
    <n v="2"/>
    <n v="61"/>
    <n v="3"/>
    <n v="2"/>
    <n v="4"/>
    <n v="9998"/>
    <n v="19293"/>
    <n v="6"/>
    <n v="13"/>
    <x v="0"/>
    <n v="1"/>
    <n v="80"/>
    <n v="0"/>
    <n v="8"/>
    <n v="4"/>
    <n v="5"/>
    <n v="4"/>
    <n v="1"/>
    <n v="2"/>
  </r>
  <r>
    <s v="No"/>
    <s v="Travel_Rarely"/>
    <x v="2"/>
    <s v="Current Employees"/>
    <x v="0"/>
    <x v="3"/>
    <s v="STAFF-1396"/>
    <n v="1396"/>
    <x v="1"/>
    <x v="0"/>
    <x v="1"/>
    <s v="Yes"/>
    <s v="Y"/>
    <n v="3"/>
    <n v="-2"/>
    <n v="0"/>
    <n v="32"/>
    <n v="0"/>
    <m/>
    <n v="0"/>
    <n v="1"/>
    <n v="499"/>
    <n v="2"/>
    <x v="1"/>
    <n v="1"/>
    <n v="3"/>
    <n v="36"/>
    <n v="3"/>
    <n v="2"/>
    <n v="2"/>
    <n v="4078"/>
    <n v="20497"/>
    <n v="0"/>
    <n v="13"/>
    <x v="0"/>
    <n v="1"/>
    <n v="80"/>
    <n v="3"/>
    <n v="4"/>
    <n v="2"/>
    <n v="3"/>
    <n v="2"/>
    <n v="1"/>
    <n v="2"/>
  </r>
  <r>
    <s v="No"/>
    <s v="Non-Travel"/>
    <x v="0"/>
    <s v="Current Employees"/>
    <x v="1"/>
    <x v="0"/>
    <s v="STAFF-1397"/>
    <n v="1397"/>
    <x v="1"/>
    <x v="4"/>
    <x v="1"/>
    <s v="No"/>
    <s v="Y"/>
    <n v="2"/>
    <n v="-2"/>
    <n v="0"/>
    <n v="39"/>
    <n v="0"/>
    <m/>
    <n v="0"/>
    <n v="1"/>
    <n v="1485"/>
    <n v="25"/>
    <x v="0"/>
    <n v="1"/>
    <n v="3"/>
    <n v="71"/>
    <n v="3"/>
    <n v="3"/>
    <n v="3"/>
    <n v="10920"/>
    <n v="3449"/>
    <n v="3"/>
    <n v="21"/>
    <x v="1"/>
    <n v="2"/>
    <n v="80"/>
    <n v="1"/>
    <n v="13"/>
    <n v="3"/>
    <n v="6"/>
    <n v="4"/>
    <n v="0"/>
    <n v="5"/>
  </r>
  <r>
    <s v="No"/>
    <s v="Travel_Rarely"/>
    <x v="2"/>
    <s v="Current Employees"/>
    <x v="0"/>
    <x v="0"/>
    <s v="STAFF-1399"/>
    <n v="1399"/>
    <x v="1"/>
    <x v="0"/>
    <x v="1"/>
    <s v="No"/>
    <s v="Y"/>
    <n v="3"/>
    <n v="-2"/>
    <n v="0"/>
    <n v="25"/>
    <n v="0"/>
    <m/>
    <n v="0"/>
    <n v="1"/>
    <n v="1372"/>
    <n v="18"/>
    <x v="1"/>
    <n v="1"/>
    <n v="1"/>
    <n v="93"/>
    <n v="4"/>
    <n v="2"/>
    <n v="3"/>
    <n v="6232"/>
    <n v="12477"/>
    <n v="2"/>
    <n v="11"/>
    <x v="0"/>
    <n v="2"/>
    <n v="80"/>
    <n v="0"/>
    <n v="6"/>
    <n v="2"/>
    <n v="3"/>
    <n v="2"/>
    <n v="1"/>
    <n v="2"/>
  </r>
  <r>
    <s v="No"/>
    <s v="Travel_Frequently"/>
    <x v="1"/>
    <s v="Current Employees"/>
    <x v="1"/>
    <x v="2"/>
    <s v="STAFF-1401"/>
    <n v="1401"/>
    <x v="0"/>
    <x v="3"/>
    <x v="1"/>
    <s v="Yes"/>
    <s v="Y"/>
    <n v="3"/>
    <n v="-2"/>
    <n v="0"/>
    <n v="52"/>
    <n v="0"/>
    <m/>
    <n v="0"/>
    <n v="1"/>
    <n v="322"/>
    <n v="28"/>
    <x v="0"/>
    <n v="1"/>
    <n v="4"/>
    <n v="59"/>
    <n v="4"/>
    <n v="4"/>
    <n v="3"/>
    <n v="13247"/>
    <n v="9731"/>
    <n v="2"/>
    <n v="11"/>
    <x v="0"/>
    <n v="2"/>
    <n v="80"/>
    <n v="1"/>
    <n v="24"/>
    <n v="2"/>
    <n v="5"/>
    <n v="3"/>
    <n v="0"/>
    <n v="2"/>
  </r>
  <r>
    <s v="No"/>
    <s v="Travel_Rarely"/>
    <x v="0"/>
    <s v="Current Employees"/>
    <x v="1"/>
    <x v="2"/>
    <s v="STAFF-1402"/>
    <n v="1402"/>
    <x v="0"/>
    <x v="1"/>
    <x v="0"/>
    <s v="Yes"/>
    <s v="Y"/>
    <n v="3"/>
    <n v="-2"/>
    <n v="0"/>
    <n v="43"/>
    <n v="0"/>
    <m/>
    <n v="0"/>
    <n v="1"/>
    <n v="930"/>
    <n v="6"/>
    <x v="3"/>
    <n v="1"/>
    <n v="1"/>
    <n v="73"/>
    <n v="2"/>
    <n v="2"/>
    <n v="3"/>
    <n v="4081"/>
    <n v="20003"/>
    <n v="1"/>
    <n v="14"/>
    <x v="0"/>
    <n v="1"/>
    <n v="80"/>
    <n v="0"/>
    <n v="20"/>
    <n v="1"/>
    <n v="20"/>
    <n v="7"/>
    <n v="1"/>
    <n v="8"/>
  </r>
  <r>
    <s v="No"/>
    <s v="Travel_Rarely"/>
    <x v="2"/>
    <s v="Current Employees"/>
    <x v="0"/>
    <x v="3"/>
    <s v="STAFF-1403"/>
    <n v="1403"/>
    <x v="0"/>
    <x v="0"/>
    <x v="1"/>
    <s v="Yes"/>
    <s v="Y"/>
    <n v="3"/>
    <n v="-2"/>
    <n v="0"/>
    <n v="27"/>
    <n v="0"/>
    <m/>
    <n v="0"/>
    <n v="1"/>
    <n v="205"/>
    <n v="10"/>
    <x v="3"/>
    <n v="1"/>
    <n v="4"/>
    <n v="98"/>
    <n v="2"/>
    <n v="2"/>
    <n v="2"/>
    <n v="5769"/>
    <n v="7100"/>
    <n v="1"/>
    <n v="11"/>
    <x v="0"/>
    <n v="4"/>
    <n v="80"/>
    <n v="0"/>
    <n v="6"/>
    <n v="3"/>
    <n v="6"/>
    <n v="2"/>
    <n v="4"/>
    <n v="4"/>
  </r>
  <r>
    <s v="Yes"/>
    <s v="Travel_Rarely"/>
    <x v="2"/>
    <s v="Ex-Employees"/>
    <x v="1"/>
    <x v="0"/>
    <s v="STAFF-1405"/>
    <n v="1405"/>
    <x v="0"/>
    <x v="1"/>
    <x v="0"/>
    <s v="Yes"/>
    <s v="Y"/>
    <n v="2"/>
    <n v="-2"/>
    <n v="0"/>
    <n v="27"/>
    <n v="1"/>
    <n v="1"/>
    <n v="1"/>
    <n v="0"/>
    <n v="135"/>
    <n v="17"/>
    <x v="2"/>
    <n v="1"/>
    <n v="4"/>
    <n v="51"/>
    <n v="3"/>
    <n v="1"/>
    <n v="3"/>
    <n v="2394"/>
    <n v="25681"/>
    <n v="1"/>
    <n v="13"/>
    <x v="0"/>
    <n v="4"/>
    <n v="80"/>
    <n v="0"/>
    <n v="8"/>
    <n v="3"/>
    <n v="8"/>
    <n v="2"/>
    <n v="7"/>
    <n v="7"/>
  </r>
  <r>
    <s v="No"/>
    <s v="Travel_Rarely"/>
    <x v="2"/>
    <s v="Current Employees"/>
    <x v="1"/>
    <x v="2"/>
    <s v="STAFF-1407"/>
    <n v="1407"/>
    <x v="1"/>
    <x v="1"/>
    <x v="0"/>
    <s v="No"/>
    <s v="Y"/>
    <n v="2"/>
    <n v="-2"/>
    <n v="0"/>
    <n v="26"/>
    <n v="0"/>
    <m/>
    <n v="0"/>
    <n v="1"/>
    <n v="683"/>
    <n v="2"/>
    <x v="1"/>
    <n v="1"/>
    <n v="1"/>
    <n v="36"/>
    <n v="2"/>
    <n v="1"/>
    <n v="4"/>
    <n v="3904"/>
    <n v="4050"/>
    <n v="0"/>
    <n v="12"/>
    <x v="0"/>
    <n v="4"/>
    <n v="80"/>
    <n v="0"/>
    <n v="5"/>
    <n v="3"/>
    <n v="4"/>
    <n v="3"/>
    <n v="1"/>
    <n v="1"/>
  </r>
  <r>
    <s v="No"/>
    <s v="Travel_Rarely"/>
    <x v="0"/>
    <s v="Current Employees"/>
    <x v="2"/>
    <x v="5"/>
    <s v="STAFF-1408"/>
    <n v="1408"/>
    <x v="0"/>
    <x v="5"/>
    <x v="1"/>
    <s v="No"/>
    <s v="Y"/>
    <n v="5"/>
    <n v="-2"/>
    <n v="0"/>
    <n v="42"/>
    <n v="0"/>
    <m/>
    <n v="0"/>
    <n v="1"/>
    <n v="1147"/>
    <n v="10"/>
    <x v="3"/>
    <n v="1"/>
    <n v="3"/>
    <n v="31"/>
    <n v="3"/>
    <n v="4"/>
    <n v="3"/>
    <n v="16799"/>
    <n v="16616"/>
    <n v="0"/>
    <n v="14"/>
    <x v="0"/>
    <n v="3"/>
    <n v="80"/>
    <n v="1"/>
    <n v="21"/>
    <n v="3"/>
    <n v="20"/>
    <n v="7"/>
    <n v="0"/>
    <n v="9"/>
  </r>
  <r>
    <s v="No"/>
    <s v="Non-Travel"/>
    <x v="2"/>
    <s v="Current Employees"/>
    <x v="1"/>
    <x v="2"/>
    <s v="STAFF-1955"/>
    <n v="1955"/>
    <x v="0"/>
    <x v="4"/>
    <x v="2"/>
    <s v="No"/>
    <s v="Y"/>
    <n v="6"/>
    <n v="-2"/>
    <n v="0"/>
    <n v="32"/>
    <n v="0"/>
    <m/>
    <n v="0"/>
    <n v="1"/>
    <n v="1146"/>
    <n v="15"/>
    <x v="2"/>
    <n v="1"/>
    <n v="3"/>
    <n v="34"/>
    <n v="3"/>
    <n v="2"/>
    <n v="4"/>
    <n v="6667"/>
    <n v="16542"/>
    <n v="5"/>
    <n v="18"/>
    <x v="0"/>
    <n v="2"/>
    <n v="80"/>
    <n v="1"/>
    <n v="9"/>
    <n v="3"/>
    <n v="5"/>
    <n v="1"/>
    <n v="1"/>
    <n v="2"/>
  </r>
  <r>
    <s v="No"/>
    <s v="Non-Travel"/>
    <x v="0"/>
    <s v="Current Employees"/>
    <x v="1"/>
    <x v="2"/>
    <s v="STAFF-1662"/>
    <n v="1662"/>
    <x v="0"/>
    <x v="3"/>
    <x v="1"/>
    <s v="No"/>
    <s v="Y"/>
    <n v="6"/>
    <n v="-2"/>
    <n v="0"/>
    <n v="36"/>
    <n v="0"/>
    <m/>
    <n v="0"/>
    <n v="1"/>
    <n v="894"/>
    <n v="1"/>
    <x v="2"/>
    <n v="1"/>
    <n v="4"/>
    <n v="33"/>
    <n v="2"/>
    <n v="2"/>
    <n v="3"/>
    <n v="4374"/>
    <n v="15411"/>
    <n v="0"/>
    <n v="15"/>
    <x v="0"/>
    <n v="3"/>
    <n v="80"/>
    <n v="0"/>
    <n v="4"/>
    <n v="3"/>
    <n v="3"/>
    <n v="2"/>
    <n v="1"/>
    <n v="2"/>
  </r>
  <r>
    <s v="No"/>
    <s v="Non-Travel"/>
    <x v="0"/>
    <s v="Current Employees"/>
    <x v="1"/>
    <x v="0"/>
    <s v="STAFF-1630"/>
    <n v="1630"/>
    <x v="0"/>
    <x v="4"/>
    <x v="1"/>
    <s v="No"/>
    <s v="Y"/>
    <n v="5"/>
    <n v="-2"/>
    <n v="0"/>
    <n v="35"/>
    <n v="0"/>
    <m/>
    <n v="0"/>
    <n v="1"/>
    <n v="208"/>
    <n v="8"/>
    <x v="2"/>
    <n v="1"/>
    <n v="3"/>
    <n v="52"/>
    <n v="3"/>
    <n v="2"/>
    <n v="3"/>
    <n v="4148"/>
    <n v="12250"/>
    <n v="1"/>
    <n v="12"/>
    <x v="0"/>
    <n v="4"/>
    <n v="80"/>
    <n v="1"/>
    <n v="15"/>
    <n v="3"/>
    <n v="14"/>
    <n v="11"/>
    <n v="2"/>
    <n v="9"/>
  </r>
  <r>
    <s v="No"/>
    <s v="Non-Travel"/>
    <x v="1"/>
    <s v="Current Employees"/>
    <x v="1"/>
    <x v="2"/>
    <s v="STAFF-2000"/>
    <n v="2000"/>
    <x v="0"/>
    <x v="7"/>
    <x v="1"/>
    <s v="No"/>
    <s v="Y"/>
    <n v="3"/>
    <n v="-2"/>
    <n v="0"/>
    <n v="47"/>
    <n v="0"/>
    <m/>
    <n v="0"/>
    <n v="1"/>
    <n v="1162"/>
    <n v="1"/>
    <x v="1"/>
    <n v="1"/>
    <n v="3"/>
    <n v="98"/>
    <n v="3"/>
    <n v="3"/>
    <n v="2"/>
    <n v="11957"/>
    <n v="17231"/>
    <n v="0"/>
    <n v="18"/>
    <x v="0"/>
    <n v="1"/>
    <n v="80"/>
    <n v="2"/>
    <n v="14"/>
    <n v="1"/>
    <n v="13"/>
    <n v="8"/>
    <n v="5"/>
    <n v="12"/>
  </r>
  <r>
    <s v="No"/>
    <s v="Non-Travel"/>
    <x v="4"/>
    <s v="Current Employees"/>
    <x v="1"/>
    <x v="2"/>
    <s v="STAFF-1839"/>
    <n v="1839"/>
    <x v="0"/>
    <x v="1"/>
    <x v="0"/>
    <s v="No"/>
    <s v="Y"/>
    <n v="4"/>
    <n v="-2"/>
    <n v="0"/>
    <n v="18"/>
    <n v="0"/>
    <m/>
    <n v="0"/>
    <n v="1"/>
    <n v="1431"/>
    <n v="14"/>
    <x v="3"/>
    <n v="1"/>
    <n v="2"/>
    <n v="33"/>
    <n v="3"/>
    <n v="1"/>
    <n v="3"/>
    <n v="1514"/>
    <n v="8018"/>
    <n v="1"/>
    <n v="16"/>
    <x v="0"/>
    <n v="3"/>
    <n v="80"/>
    <n v="0"/>
    <n v="0"/>
    <n v="1"/>
    <n v="0"/>
    <n v="0"/>
    <n v="0"/>
    <n v="0"/>
  </r>
  <r>
    <s v="No"/>
    <s v="Non-Travel"/>
    <x v="0"/>
    <s v="Current Employees"/>
    <x v="0"/>
    <x v="0"/>
    <s v="STAFF-1929"/>
    <n v="1929"/>
    <x v="0"/>
    <x v="0"/>
    <x v="1"/>
    <s v="No"/>
    <s v="Y"/>
    <n v="1"/>
    <n v="-2"/>
    <n v="0"/>
    <n v="39"/>
    <n v="0"/>
    <m/>
    <n v="0"/>
    <n v="1"/>
    <n v="1251"/>
    <n v="21"/>
    <x v="2"/>
    <n v="1"/>
    <n v="1"/>
    <n v="32"/>
    <n v="1"/>
    <n v="2"/>
    <n v="3"/>
    <n v="5736"/>
    <n v="3987"/>
    <n v="6"/>
    <n v="19"/>
    <x v="0"/>
    <n v="3"/>
    <n v="80"/>
    <n v="1"/>
    <n v="10"/>
    <n v="3"/>
    <n v="3"/>
    <n v="2"/>
    <n v="1"/>
    <n v="2"/>
  </r>
  <r>
    <s v="No"/>
    <s v="Non-Travel"/>
    <x v="4"/>
    <s v="Current Employees"/>
    <x v="0"/>
    <x v="0"/>
    <s v="STAFF-1495"/>
    <n v="1495"/>
    <x v="0"/>
    <x v="6"/>
    <x v="1"/>
    <s v="No"/>
    <s v="Y"/>
    <n v="2"/>
    <n v="-2"/>
    <n v="0"/>
    <n v="24"/>
    <n v="0"/>
    <m/>
    <n v="0"/>
    <n v="1"/>
    <n v="830"/>
    <n v="13"/>
    <x v="0"/>
    <n v="1"/>
    <n v="4"/>
    <n v="78"/>
    <n v="3"/>
    <n v="1"/>
    <n v="2"/>
    <n v="2033"/>
    <n v="7103"/>
    <n v="1"/>
    <n v="13"/>
    <x v="0"/>
    <n v="3"/>
    <n v="80"/>
    <n v="1"/>
    <n v="1"/>
    <n v="3"/>
    <n v="1"/>
    <n v="0"/>
    <n v="0"/>
    <n v="0"/>
  </r>
  <r>
    <s v="No"/>
    <s v="Non-Travel"/>
    <x v="2"/>
    <s v="Current Employees"/>
    <x v="0"/>
    <x v="3"/>
    <s v="STAFF-1756"/>
    <n v="1756"/>
    <x v="0"/>
    <x v="0"/>
    <x v="0"/>
    <s v="No"/>
    <s v="Y"/>
    <n v="2"/>
    <n v="-2"/>
    <n v="0"/>
    <n v="33"/>
    <n v="0"/>
    <m/>
    <n v="0"/>
    <n v="1"/>
    <n v="1283"/>
    <n v="2"/>
    <x v="3"/>
    <n v="1"/>
    <n v="4"/>
    <n v="62"/>
    <n v="3"/>
    <n v="2"/>
    <n v="2"/>
    <n v="5147"/>
    <n v="10697"/>
    <n v="8"/>
    <n v="15"/>
    <x v="0"/>
    <n v="4"/>
    <n v="80"/>
    <n v="0"/>
    <n v="13"/>
    <n v="2"/>
    <n v="11"/>
    <n v="7"/>
    <n v="1"/>
    <n v="7"/>
  </r>
  <r>
    <s v="No"/>
    <s v="Travel_Frequently"/>
    <x v="1"/>
    <s v="Current Employees"/>
    <x v="1"/>
    <x v="2"/>
    <s v="STAFF-1900"/>
    <n v="1900"/>
    <x v="0"/>
    <x v="5"/>
    <x v="2"/>
    <s v="No"/>
    <s v="Y"/>
    <n v="3"/>
    <n v="-2"/>
    <n v="0"/>
    <n v="48"/>
    <n v="0"/>
    <m/>
    <n v="0"/>
    <n v="1"/>
    <n v="117"/>
    <n v="22"/>
    <x v="3"/>
    <n v="1"/>
    <n v="4"/>
    <n v="58"/>
    <n v="3"/>
    <n v="4"/>
    <n v="4"/>
    <n v="17174"/>
    <n v="2437"/>
    <n v="3"/>
    <n v="11"/>
    <x v="0"/>
    <n v="2"/>
    <n v="80"/>
    <n v="1"/>
    <n v="24"/>
    <n v="3"/>
    <n v="22"/>
    <n v="17"/>
    <n v="4"/>
    <n v="7"/>
  </r>
  <r>
    <s v="No"/>
    <s v="Travel_Frequently"/>
    <x v="0"/>
    <s v="Current Employees"/>
    <x v="1"/>
    <x v="0"/>
    <s v="STAFF-2025"/>
    <n v="2025"/>
    <x v="0"/>
    <x v="3"/>
    <x v="2"/>
    <s v="No"/>
    <s v="Y"/>
    <n v="3"/>
    <n v="-2"/>
    <n v="0"/>
    <n v="36"/>
    <n v="0"/>
    <m/>
    <n v="0"/>
    <n v="1"/>
    <n v="688"/>
    <n v="4"/>
    <x v="0"/>
    <n v="1"/>
    <n v="4"/>
    <n v="97"/>
    <n v="3"/>
    <n v="2"/>
    <n v="2"/>
    <n v="5131"/>
    <n v="9192"/>
    <n v="7"/>
    <n v="13"/>
    <x v="0"/>
    <n v="2"/>
    <n v="80"/>
    <n v="3"/>
    <n v="18"/>
    <n v="3"/>
    <n v="4"/>
    <n v="2"/>
    <n v="0"/>
    <n v="2"/>
  </r>
  <r>
    <s v="No"/>
    <s v="Travel_Frequently"/>
    <x v="0"/>
    <s v="Current Employees"/>
    <x v="1"/>
    <x v="2"/>
    <s v="STAFF-1760"/>
    <n v="1760"/>
    <x v="0"/>
    <x v="2"/>
    <x v="1"/>
    <s v="No"/>
    <s v="Y"/>
    <n v="4"/>
    <n v="-2"/>
    <n v="0"/>
    <n v="38"/>
    <n v="0"/>
    <m/>
    <n v="0"/>
    <n v="1"/>
    <n v="594"/>
    <n v="2"/>
    <x v="0"/>
    <n v="1"/>
    <n v="3"/>
    <n v="75"/>
    <n v="2"/>
    <n v="1"/>
    <n v="2"/>
    <n v="2468"/>
    <n v="15963"/>
    <n v="4"/>
    <n v="14"/>
    <x v="0"/>
    <n v="2"/>
    <n v="80"/>
    <n v="1"/>
    <n v="9"/>
    <n v="2"/>
    <n v="6"/>
    <n v="1"/>
    <n v="0"/>
    <n v="5"/>
  </r>
  <r>
    <s v="No"/>
    <s v="Travel_Frequently"/>
    <x v="2"/>
    <s v="Current Employees"/>
    <x v="1"/>
    <x v="0"/>
    <s v="STAFF-1870"/>
    <n v="1870"/>
    <x v="0"/>
    <x v="1"/>
    <x v="1"/>
    <s v="No"/>
    <s v="Y"/>
    <n v="2"/>
    <n v="-2"/>
    <n v="0"/>
    <n v="27"/>
    <n v="0"/>
    <m/>
    <n v="0"/>
    <n v="1"/>
    <n v="1131"/>
    <n v="15"/>
    <x v="3"/>
    <n v="1"/>
    <n v="4"/>
    <n v="77"/>
    <n v="2"/>
    <n v="1"/>
    <n v="3"/>
    <n v="4774"/>
    <n v="23844"/>
    <n v="0"/>
    <n v="19"/>
    <x v="0"/>
    <n v="4"/>
    <n v="80"/>
    <n v="1"/>
    <n v="8"/>
    <n v="2"/>
    <n v="7"/>
    <n v="6"/>
    <n v="7"/>
    <n v="3"/>
  </r>
  <r>
    <s v="No"/>
    <s v="Travel_Frequently"/>
    <x v="0"/>
    <s v="Current Employees"/>
    <x v="1"/>
    <x v="4"/>
    <s v="STAFF-1985"/>
    <n v="1985"/>
    <x v="0"/>
    <x v="2"/>
    <x v="1"/>
    <s v="No"/>
    <s v="Y"/>
    <n v="2"/>
    <n v="-2"/>
    <n v="0"/>
    <n v="40"/>
    <n v="0"/>
    <m/>
    <n v="0"/>
    <n v="1"/>
    <n v="692"/>
    <n v="11"/>
    <x v="3"/>
    <n v="1"/>
    <n v="4"/>
    <n v="73"/>
    <n v="3"/>
    <n v="2"/>
    <n v="4"/>
    <n v="6323"/>
    <n v="26849"/>
    <n v="1"/>
    <n v="11"/>
    <x v="0"/>
    <n v="1"/>
    <n v="80"/>
    <n v="1"/>
    <n v="10"/>
    <n v="4"/>
    <n v="10"/>
    <n v="9"/>
    <n v="9"/>
    <n v="4"/>
  </r>
  <r>
    <s v="No"/>
    <s v="Travel_Frequently"/>
    <x v="2"/>
    <s v="Current Employees"/>
    <x v="1"/>
    <x v="0"/>
    <s v="STAFF-1513"/>
    <n v="1513"/>
    <x v="0"/>
    <x v="2"/>
    <x v="1"/>
    <s v="No"/>
    <s v="Y"/>
    <n v="3"/>
    <n v="-2"/>
    <n v="0"/>
    <n v="29"/>
    <n v="0"/>
    <m/>
    <n v="0"/>
    <n v="1"/>
    <n v="410"/>
    <n v="2"/>
    <x v="1"/>
    <n v="1"/>
    <n v="4"/>
    <n v="97"/>
    <n v="3"/>
    <n v="1"/>
    <n v="2"/>
    <n v="3180"/>
    <n v="4668"/>
    <n v="0"/>
    <n v="13"/>
    <x v="0"/>
    <n v="3"/>
    <n v="80"/>
    <n v="3"/>
    <n v="4"/>
    <n v="3"/>
    <n v="3"/>
    <n v="2"/>
    <n v="0"/>
    <n v="2"/>
  </r>
  <r>
    <s v="No"/>
    <s v="Travel_Frequently"/>
    <x v="0"/>
    <s v="Current Employees"/>
    <x v="1"/>
    <x v="2"/>
    <s v="STAFF-1633"/>
    <n v="1633"/>
    <x v="0"/>
    <x v="3"/>
    <x v="0"/>
    <s v="No"/>
    <s v="Y"/>
    <n v="2"/>
    <n v="-2"/>
    <n v="0"/>
    <n v="39"/>
    <n v="0"/>
    <m/>
    <n v="0"/>
    <n v="1"/>
    <n v="711"/>
    <n v="4"/>
    <x v="3"/>
    <n v="1"/>
    <n v="1"/>
    <n v="81"/>
    <n v="3"/>
    <n v="2"/>
    <n v="3"/>
    <n v="5042"/>
    <n v="3140"/>
    <n v="0"/>
    <n v="13"/>
    <x v="0"/>
    <n v="4"/>
    <n v="80"/>
    <n v="0"/>
    <n v="10"/>
    <n v="1"/>
    <n v="9"/>
    <n v="2"/>
    <n v="3"/>
    <n v="8"/>
  </r>
  <r>
    <s v="No"/>
    <s v="Travel_Frequently"/>
    <x v="0"/>
    <s v="Current Employees"/>
    <x v="1"/>
    <x v="2"/>
    <s v="STAFF-1480"/>
    <n v="1480"/>
    <x v="0"/>
    <x v="2"/>
    <x v="0"/>
    <s v="No"/>
    <s v="Y"/>
    <n v="3"/>
    <n v="-2"/>
    <n v="0"/>
    <n v="42"/>
    <n v="0"/>
    <m/>
    <n v="0"/>
    <n v="1"/>
    <n v="748"/>
    <n v="9"/>
    <x v="0"/>
    <n v="1"/>
    <n v="1"/>
    <n v="74"/>
    <n v="3"/>
    <n v="1"/>
    <n v="4"/>
    <n v="3673"/>
    <n v="16458"/>
    <n v="1"/>
    <n v="13"/>
    <x v="0"/>
    <n v="3"/>
    <n v="80"/>
    <n v="0"/>
    <n v="12"/>
    <n v="3"/>
    <n v="12"/>
    <n v="9"/>
    <n v="5"/>
    <n v="8"/>
  </r>
  <r>
    <s v="No"/>
    <s v="Travel_Frequently"/>
    <x v="2"/>
    <s v="Current Employees"/>
    <x v="1"/>
    <x v="4"/>
    <s v="STAFF-1745"/>
    <n v="1745"/>
    <x v="0"/>
    <x v="1"/>
    <x v="0"/>
    <s v="No"/>
    <s v="Y"/>
    <n v="2"/>
    <n v="-2"/>
    <n v="0"/>
    <n v="30"/>
    <n v="0"/>
    <m/>
    <n v="0"/>
    <n v="1"/>
    <n v="1312"/>
    <n v="2"/>
    <x v="2"/>
    <n v="1"/>
    <n v="4"/>
    <n v="78"/>
    <n v="2"/>
    <n v="1"/>
    <n v="4"/>
    <n v="4968"/>
    <n v="26427"/>
    <n v="0"/>
    <n v="16"/>
    <x v="0"/>
    <n v="4"/>
    <n v="80"/>
    <n v="0"/>
    <n v="10"/>
    <n v="3"/>
    <n v="9"/>
    <n v="7"/>
    <n v="0"/>
    <n v="7"/>
  </r>
  <r>
    <s v="No"/>
    <s v="Travel_Frequently"/>
    <x v="0"/>
    <s v="Current Employees"/>
    <x v="0"/>
    <x v="3"/>
    <s v="STAFF-1481"/>
    <n v="1481"/>
    <x v="0"/>
    <x v="0"/>
    <x v="1"/>
    <s v="No"/>
    <s v="Y"/>
    <n v="4"/>
    <n v="-2"/>
    <n v="0"/>
    <n v="44"/>
    <n v="0"/>
    <m/>
    <n v="0"/>
    <n v="1"/>
    <n v="383"/>
    <n v="1"/>
    <x v="4"/>
    <n v="1"/>
    <n v="1"/>
    <n v="79"/>
    <n v="3"/>
    <n v="2"/>
    <n v="2"/>
    <n v="4768"/>
    <n v="9282"/>
    <n v="7"/>
    <n v="12"/>
    <x v="0"/>
    <n v="3"/>
    <n v="80"/>
    <n v="1"/>
    <n v="11"/>
    <n v="2"/>
    <n v="1"/>
    <n v="0"/>
    <n v="0"/>
    <n v="0"/>
  </r>
  <r>
    <s v="No"/>
    <s v="Travel_Frequently"/>
    <x v="2"/>
    <s v="Current Employees"/>
    <x v="0"/>
    <x v="3"/>
    <s v="STAFF-1833"/>
    <n v="1833"/>
    <x v="0"/>
    <x v="0"/>
    <x v="1"/>
    <s v="No"/>
    <s v="Y"/>
    <n v="3"/>
    <n v="-2"/>
    <n v="0"/>
    <n v="31"/>
    <n v="0"/>
    <m/>
    <n v="0"/>
    <n v="1"/>
    <n v="1125"/>
    <n v="7"/>
    <x v="2"/>
    <n v="1"/>
    <n v="1"/>
    <n v="68"/>
    <n v="3"/>
    <n v="3"/>
    <n v="2"/>
    <n v="9637"/>
    <n v="8277"/>
    <n v="2"/>
    <n v="14"/>
    <x v="0"/>
    <n v="4"/>
    <n v="80"/>
    <n v="2"/>
    <n v="9"/>
    <n v="3"/>
    <n v="3"/>
    <n v="2"/>
    <n v="2"/>
    <n v="2"/>
  </r>
  <r>
    <s v="No"/>
    <s v="Travel_Rarely"/>
    <x v="2"/>
    <s v="Current Employees"/>
    <x v="2"/>
    <x v="5"/>
    <s v="STAFF-1987"/>
    <n v="1987"/>
    <x v="0"/>
    <x v="8"/>
    <x v="1"/>
    <s v="No"/>
    <s v="Y"/>
    <n v="3"/>
    <n v="-2"/>
    <n v="0"/>
    <n v="25"/>
    <n v="0"/>
    <m/>
    <n v="0"/>
    <n v="1"/>
    <n v="309"/>
    <n v="2"/>
    <x v="3"/>
    <n v="1"/>
    <n v="3"/>
    <n v="82"/>
    <n v="3"/>
    <n v="1"/>
    <n v="2"/>
    <n v="2187"/>
    <n v="19655"/>
    <n v="4"/>
    <n v="14"/>
    <x v="0"/>
    <n v="3"/>
    <n v="80"/>
    <n v="0"/>
    <n v="6"/>
    <n v="3"/>
    <n v="2"/>
    <n v="0"/>
    <n v="1"/>
    <n v="2"/>
  </r>
  <r>
    <s v="No"/>
    <s v="Travel_Rarely"/>
    <x v="1"/>
    <s v="Current Employees"/>
    <x v="2"/>
    <x v="0"/>
    <s v="STAFF-1625"/>
    <n v="1625"/>
    <x v="0"/>
    <x v="5"/>
    <x v="1"/>
    <s v="No"/>
    <s v="Y"/>
    <n v="2"/>
    <n v="-2"/>
    <n v="0"/>
    <n v="47"/>
    <n v="0"/>
    <m/>
    <n v="0"/>
    <n v="1"/>
    <n v="1176"/>
    <n v="26"/>
    <x v="2"/>
    <n v="1"/>
    <n v="4"/>
    <n v="98"/>
    <n v="3"/>
    <n v="5"/>
    <n v="3"/>
    <n v="19658"/>
    <n v="5220"/>
    <n v="3"/>
    <n v="11"/>
    <x v="0"/>
    <n v="3"/>
    <n v="80"/>
    <n v="1"/>
    <n v="27"/>
    <n v="3"/>
    <n v="5"/>
    <n v="2"/>
    <n v="1"/>
    <n v="0"/>
  </r>
  <r>
    <s v="No"/>
    <s v="Travel_Rarely"/>
    <x v="2"/>
    <s v="Current Employees"/>
    <x v="2"/>
    <x v="2"/>
    <s v="STAFF-1461"/>
    <n v="1461"/>
    <x v="0"/>
    <x v="8"/>
    <x v="0"/>
    <s v="No"/>
    <s v="Y"/>
    <n v="3"/>
    <n v="-2"/>
    <n v="0"/>
    <n v="31"/>
    <n v="0"/>
    <m/>
    <n v="0"/>
    <n v="1"/>
    <n v="1398"/>
    <n v="8"/>
    <x v="0"/>
    <n v="1"/>
    <n v="4"/>
    <n v="96"/>
    <n v="4"/>
    <n v="1"/>
    <n v="2"/>
    <n v="2109"/>
    <n v="24609"/>
    <n v="9"/>
    <n v="18"/>
    <x v="0"/>
    <n v="4"/>
    <n v="80"/>
    <n v="0"/>
    <n v="8"/>
    <n v="3"/>
    <n v="3"/>
    <n v="2"/>
    <n v="0"/>
    <n v="2"/>
  </r>
  <r>
    <s v="No"/>
    <s v="Travel_Rarely"/>
    <x v="2"/>
    <s v="Current Employees"/>
    <x v="1"/>
    <x v="2"/>
    <s v="STAFF-1916"/>
    <n v="1916"/>
    <x v="0"/>
    <x v="2"/>
    <x v="2"/>
    <s v="No"/>
    <s v="Y"/>
    <n v="0"/>
    <n v="-2"/>
    <n v="0"/>
    <n v="31"/>
    <n v="0"/>
    <m/>
    <n v="0"/>
    <n v="1"/>
    <n v="471"/>
    <n v="4"/>
    <x v="3"/>
    <n v="1"/>
    <n v="1"/>
    <n v="62"/>
    <n v="4"/>
    <n v="1"/>
    <n v="3"/>
    <n v="3978"/>
    <n v="16031"/>
    <n v="8"/>
    <n v="12"/>
    <x v="0"/>
    <n v="2"/>
    <n v="80"/>
    <n v="1"/>
    <n v="4"/>
    <n v="2"/>
    <n v="2"/>
    <n v="2"/>
    <n v="2"/>
    <n v="2"/>
  </r>
  <r>
    <s v="No"/>
    <s v="Travel_Rarely"/>
    <x v="0"/>
    <s v="Current Employees"/>
    <x v="1"/>
    <x v="0"/>
    <s v="STAFF-1829"/>
    <n v="1829"/>
    <x v="0"/>
    <x v="4"/>
    <x v="2"/>
    <s v="No"/>
    <s v="Y"/>
    <n v="3"/>
    <n v="-2"/>
    <n v="0"/>
    <n v="40"/>
    <n v="0"/>
    <m/>
    <n v="0"/>
    <n v="1"/>
    <n v="750"/>
    <n v="12"/>
    <x v="3"/>
    <n v="1"/>
    <n v="2"/>
    <n v="47"/>
    <n v="3"/>
    <n v="2"/>
    <n v="3"/>
    <n v="4448"/>
    <n v="10748"/>
    <n v="2"/>
    <n v="12"/>
    <x v="0"/>
    <n v="2"/>
    <n v="80"/>
    <n v="1"/>
    <n v="15"/>
    <n v="3"/>
    <n v="7"/>
    <n v="4"/>
    <n v="7"/>
    <n v="7"/>
  </r>
  <r>
    <s v="No"/>
    <s v="Travel_Rarely"/>
    <x v="0"/>
    <s v="Current Employees"/>
    <x v="1"/>
    <x v="0"/>
    <s v="STAFF-1822"/>
    <n v="1822"/>
    <x v="0"/>
    <x v="4"/>
    <x v="2"/>
    <s v="No"/>
    <s v="Y"/>
    <n v="3"/>
    <n v="-2"/>
    <n v="0"/>
    <n v="40"/>
    <n v="0"/>
    <m/>
    <n v="0"/>
    <n v="1"/>
    <n v="1194"/>
    <n v="1"/>
    <x v="3"/>
    <n v="1"/>
    <n v="3"/>
    <n v="52"/>
    <n v="3"/>
    <n v="2"/>
    <n v="4"/>
    <n v="6513"/>
    <n v="9060"/>
    <n v="4"/>
    <n v="17"/>
    <x v="0"/>
    <n v="4"/>
    <n v="80"/>
    <n v="1"/>
    <n v="12"/>
    <n v="3"/>
    <n v="5"/>
    <n v="3"/>
    <n v="0"/>
    <n v="3"/>
  </r>
  <r>
    <s v="No"/>
    <s v="Travel_Rarely"/>
    <x v="2"/>
    <s v="Current Employees"/>
    <x v="1"/>
    <x v="4"/>
    <s v="STAFF-1762"/>
    <n v="1762"/>
    <x v="0"/>
    <x v="1"/>
    <x v="2"/>
    <s v="No"/>
    <s v="Y"/>
    <n v="2"/>
    <n v="-2"/>
    <n v="0"/>
    <n v="29"/>
    <n v="0"/>
    <m/>
    <n v="0"/>
    <n v="1"/>
    <n v="590"/>
    <n v="4"/>
    <x v="3"/>
    <n v="1"/>
    <n v="4"/>
    <n v="91"/>
    <n v="2"/>
    <n v="1"/>
    <n v="4"/>
    <n v="2109"/>
    <n v="10007"/>
    <n v="1"/>
    <n v="13"/>
    <x v="0"/>
    <n v="3"/>
    <n v="80"/>
    <n v="1"/>
    <n v="1"/>
    <n v="3"/>
    <n v="1"/>
    <n v="0"/>
    <n v="0"/>
    <n v="0"/>
  </r>
  <r>
    <s v="No"/>
    <s v="Travel_Rarely"/>
    <x v="2"/>
    <s v="Current Employees"/>
    <x v="1"/>
    <x v="0"/>
    <s v="STAFF-1658"/>
    <n v="1658"/>
    <x v="0"/>
    <x v="1"/>
    <x v="2"/>
    <s v="No"/>
    <s v="Y"/>
    <n v="2"/>
    <n v="-2"/>
    <n v="0"/>
    <n v="34"/>
    <n v="0"/>
    <m/>
    <n v="0"/>
    <n v="1"/>
    <n v="1130"/>
    <n v="3"/>
    <x v="3"/>
    <n v="1"/>
    <n v="4"/>
    <n v="66"/>
    <n v="3"/>
    <n v="2"/>
    <n v="2"/>
    <n v="5433"/>
    <n v="19332"/>
    <n v="1"/>
    <n v="12"/>
    <x v="0"/>
    <n v="3"/>
    <n v="80"/>
    <n v="1"/>
    <n v="11"/>
    <n v="3"/>
    <n v="11"/>
    <n v="8"/>
    <n v="7"/>
    <n v="9"/>
  </r>
  <r>
    <s v="No"/>
    <s v="Travel_Rarely"/>
    <x v="1"/>
    <s v="Current Employees"/>
    <x v="1"/>
    <x v="1"/>
    <s v="STAFF-1635"/>
    <n v="1635"/>
    <x v="0"/>
    <x v="3"/>
    <x v="2"/>
    <s v="No"/>
    <s v="Y"/>
    <n v="3"/>
    <n v="-2"/>
    <n v="0"/>
    <n v="45"/>
    <n v="0"/>
    <m/>
    <n v="0"/>
    <n v="1"/>
    <n v="1329"/>
    <n v="2"/>
    <x v="0"/>
    <n v="1"/>
    <n v="4"/>
    <n v="59"/>
    <n v="2"/>
    <n v="2"/>
    <n v="4"/>
    <n v="5770"/>
    <n v="5388"/>
    <n v="1"/>
    <n v="19"/>
    <x v="0"/>
    <n v="1"/>
    <n v="80"/>
    <n v="2"/>
    <n v="10"/>
    <n v="3"/>
    <n v="10"/>
    <n v="7"/>
    <n v="3"/>
    <n v="9"/>
  </r>
  <r>
    <s v="No"/>
    <s v="Travel_Rarely"/>
    <x v="1"/>
    <s v="Current Employees"/>
    <x v="1"/>
    <x v="0"/>
    <s v="STAFF-1656"/>
    <n v="1656"/>
    <x v="0"/>
    <x v="7"/>
    <x v="2"/>
    <s v="No"/>
    <s v="Y"/>
    <n v="3"/>
    <n v="-2"/>
    <n v="0"/>
    <n v="50"/>
    <n v="0"/>
    <m/>
    <n v="0"/>
    <n v="1"/>
    <n v="813"/>
    <n v="17"/>
    <x v="4"/>
    <n v="1"/>
    <n v="4"/>
    <n v="50"/>
    <n v="2"/>
    <n v="3"/>
    <n v="3"/>
    <n v="13269"/>
    <n v="21981"/>
    <n v="5"/>
    <n v="15"/>
    <x v="0"/>
    <n v="3"/>
    <n v="80"/>
    <n v="3"/>
    <n v="19"/>
    <n v="3"/>
    <n v="14"/>
    <n v="11"/>
    <n v="1"/>
    <n v="11"/>
  </r>
  <r>
    <s v="No"/>
    <s v="Travel_Rarely"/>
    <x v="2"/>
    <s v="Current Employees"/>
    <x v="1"/>
    <x v="2"/>
    <s v="STAFF-1502"/>
    <n v="1502"/>
    <x v="0"/>
    <x v="2"/>
    <x v="1"/>
    <s v="No"/>
    <s v="Y"/>
    <n v="5"/>
    <n v="-2"/>
    <n v="0"/>
    <n v="33"/>
    <n v="0"/>
    <m/>
    <n v="0"/>
    <n v="1"/>
    <n v="1099"/>
    <n v="4"/>
    <x v="2"/>
    <n v="1"/>
    <n v="1"/>
    <n v="82"/>
    <n v="2"/>
    <n v="1"/>
    <n v="2"/>
    <n v="3838"/>
    <n v="8192"/>
    <n v="8"/>
    <n v="11"/>
    <x v="0"/>
    <n v="4"/>
    <n v="80"/>
    <n v="0"/>
    <n v="8"/>
    <n v="3"/>
    <n v="5"/>
    <n v="4"/>
    <n v="0"/>
    <n v="2"/>
  </r>
  <r>
    <s v="No"/>
    <s v="Travel_Rarely"/>
    <x v="0"/>
    <s v="Current Employees"/>
    <x v="1"/>
    <x v="2"/>
    <s v="STAFF-1866"/>
    <n v="1866"/>
    <x v="0"/>
    <x v="5"/>
    <x v="1"/>
    <s v="No"/>
    <s v="Y"/>
    <n v="2"/>
    <n v="-2"/>
    <n v="0"/>
    <n v="43"/>
    <n v="0"/>
    <m/>
    <n v="0"/>
    <n v="1"/>
    <n v="823"/>
    <n v="6"/>
    <x v="3"/>
    <n v="1"/>
    <n v="1"/>
    <n v="81"/>
    <n v="2"/>
    <n v="5"/>
    <n v="3"/>
    <n v="19392"/>
    <n v="22539"/>
    <n v="7"/>
    <n v="13"/>
    <x v="0"/>
    <n v="4"/>
    <n v="80"/>
    <n v="0"/>
    <n v="21"/>
    <n v="3"/>
    <n v="16"/>
    <n v="12"/>
    <n v="6"/>
    <n v="14"/>
  </r>
  <r>
    <s v="No"/>
    <s v="Travel_Rarely"/>
    <x v="1"/>
    <s v="Current Employees"/>
    <x v="1"/>
    <x v="4"/>
    <s v="STAFF-1786"/>
    <n v="1786"/>
    <x v="0"/>
    <x v="5"/>
    <x v="1"/>
    <s v="No"/>
    <s v="Y"/>
    <n v="2"/>
    <n v="-2"/>
    <n v="0"/>
    <n v="51"/>
    <n v="0"/>
    <m/>
    <n v="0"/>
    <n v="1"/>
    <n v="942"/>
    <n v="3"/>
    <x v="3"/>
    <n v="1"/>
    <n v="4"/>
    <n v="53"/>
    <n v="3"/>
    <n v="3"/>
    <n v="4"/>
    <n v="13116"/>
    <n v="22984"/>
    <n v="2"/>
    <n v="11"/>
    <x v="0"/>
    <n v="4"/>
    <n v="80"/>
    <n v="0"/>
    <n v="15"/>
    <n v="3"/>
    <n v="2"/>
    <n v="2"/>
    <n v="2"/>
    <n v="2"/>
  </r>
  <r>
    <s v="No"/>
    <s v="Travel_Rarely"/>
    <x v="2"/>
    <s v="Current Employees"/>
    <x v="1"/>
    <x v="0"/>
    <s v="STAFF-1701"/>
    <n v="1701"/>
    <x v="0"/>
    <x v="1"/>
    <x v="1"/>
    <s v="No"/>
    <s v="Y"/>
    <n v="3"/>
    <n v="-2"/>
    <n v="0"/>
    <n v="34"/>
    <n v="0"/>
    <m/>
    <n v="0"/>
    <n v="1"/>
    <n v="678"/>
    <n v="19"/>
    <x v="3"/>
    <n v="1"/>
    <n v="2"/>
    <n v="35"/>
    <n v="2"/>
    <n v="1"/>
    <n v="4"/>
    <n v="2929"/>
    <n v="20338"/>
    <n v="1"/>
    <n v="12"/>
    <x v="0"/>
    <n v="2"/>
    <n v="80"/>
    <n v="0"/>
    <n v="10"/>
    <n v="3"/>
    <n v="10"/>
    <n v="9"/>
    <n v="8"/>
    <n v="7"/>
  </r>
  <r>
    <s v="No"/>
    <s v="Travel_Rarely"/>
    <x v="2"/>
    <s v="Current Employees"/>
    <x v="1"/>
    <x v="2"/>
    <s v="STAFF-1647"/>
    <n v="1647"/>
    <x v="0"/>
    <x v="1"/>
    <x v="1"/>
    <s v="No"/>
    <s v="Y"/>
    <n v="0"/>
    <n v="-2"/>
    <n v="0"/>
    <n v="27"/>
    <n v="0"/>
    <m/>
    <n v="0"/>
    <n v="1"/>
    <n v="486"/>
    <n v="8"/>
    <x v="3"/>
    <n v="1"/>
    <n v="2"/>
    <n v="86"/>
    <n v="4"/>
    <n v="1"/>
    <n v="3"/>
    <n v="3517"/>
    <n v="22490"/>
    <n v="7"/>
    <n v="17"/>
    <x v="0"/>
    <n v="1"/>
    <n v="80"/>
    <n v="0"/>
    <n v="5"/>
    <n v="3"/>
    <n v="3"/>
    <n v="2"/>
    <n v="0"/>
    <n v="2"/>
  </r>
  <r>
    <s v="No"/>
    <s v="Travel_Rarely"/>
    <x v="1"/>
    <s v="Current Employees"/>
    <x v="1"/>
    <x v="1"/>
    <s v="STAFF-1409"/>
    <n v="1409"/>
    <x v="0"/>
    <x v="2"/>
    <x v="1"/>
    <s v="No"/>
    <s v="Y"/>
    <n v="2"/>
    <n v="-2"/>
    <n v="0"/>
    <n v="52"/>
    <n v="0"/>
    <m/>
    <n v="0"/>
    <n v="1"/>
    <n v="258"/>
    <n v="8"/>
    <x v="2"/>
    <n v="1"/>
    <n v="3"/>
    <n v="54"/>
    <n v="3"/>
    <n v="1"/>
    <n v="3"/>
    <n v="2950"/>
    <n v="17363"/>
    <n v="9"/>
    <n v="13"/>
    <x v="0"/>
    <n v="3"/>
    <n v="80"/>
    <n v="0"/>
    <n v="12"/>
    <n v="1"/>
    <n v="5"/>
    <n v="4"/>
    <n v="0"/>
    <n v="4"/>
  </r>
  <r>
    <s v="No"/>
    <s v="Travel_Rarely"/>
    <x v="0"/>
    <s v="Current Employees"/>
    <x v="1"/>
    <x v="2"/>
    <s v="STAFF-2015"/>
    <n v="2015"/>
    <x v="0"/>
    <x v="7"/>
    <x v="1"/>
    <s v="No"/>
    <s v="Y"/>
    <n v="3"/>
    <n v="-2"/>
    <n v="0"/>
    <n v="38"/>
    <n v="0"/>
    <m/>
    <n v="0"/>
    <n v="1"/>
    <n v="201"/>
    <n v="10"/>
    <x v="3"/>
    <n v="1"/>
    <n v="2"/>
    <n v="99"/>
    <n v="1"/>
    <n v="3"/>
    <n v="3"/>
    <n v="13206"/>
    <n v="3376"/>
    <n v="3"/>
    <n v="12"/>
    <x v="0"/>
    <n v="1"/>
    <n v="80"/>
    <n v="1"/>
    <n v="20"/>
    <n v="3"/>
    <n v="18"/>
    <n v="16"/>
    <n v="1"/>
    <n v="11"/>
  </r>
  <r>
    <s v="No"/>
    <s v="Travel_Rarely"/>
    <x v="0"/>
    <s v="Current Employees"/>
    <x v="1"/>
    <x v="2"/>
    <s v="STAFF-1640"/>
    <n v="1640"/>
    <x v="0"/>
    <x v="1"/>
    <x v="1"/>
    <s v="No"/>
    <s v="Y"/>
    <n v="2"/>
    <n v="-2"/>
    <n v="0"/>
    <n v="37"/>
    <n v="0"/>
    <m/>
    <n v="0"/>
    <n v="1"/>
    <n v="1470"/>
    <n v="10"/>
    <x v="3"/>
    <n v="1"/>
    <n v="2"/>
    <n v="71"/>
    <n v="3"/>
    <n v="1"/>
    <n v="2"/>
    <n v="3936"/>
    <n v="9953"/>
    <n v="1"/>
    <n v="11"/>
    <x v="0"/>
    <n v="1"/>
    <n v="80"/>
    <n v="1"/>
    <n v="8"/>
    <n v="1"/>
    <n v="8"/>
    <n v="4"/>
    <n v="7"/>
    <n v="7"/>
  </r>
  <r>
    <s v="No"/>
    <s v="Travel_Rarely"/>
    <x v="2"/>
    <s v="Current Employees"/>
    <x v="1"/>
    <x v="1"/>
    <s v="STAFF-1544"/>
    <n v="1544"/>
    <x v="0"/>
    <x v="4"/>
    <x v="1"/>
    <s v="No"/>
    <s v="Y"/>
    <n v="3"/>
    <n v="-2"/>
    <n v="0"/>
    <n v="29"/>
    <n v="0"/>
    <m/>
    <n v="0"/>
    <n v="1"/>
    <n v="441"/>
    <n v="8"/>
    <x v="1"/>
    <n v="1"/>
    <n v="3"/>
    <n v="39"/>
    <n v="1"/>
    <n v="2"/>
    <n v="3"/>
    <n v="9715"/>
    <n v="7288"/>
    <n v="3"/>
    <n v="13"/>
    <x v="0"/>
    <n v="3"/>
    <n v="80"/>
    <n v="1"/>
    <n v="9"/>
    <n v="3"/>
    <n v="7"/>
    <n v="7"/>
    <n v="0"/>
    <n v="7"/>
  </r>
  <r>
    <s v="No"/>
    <s v="Travel_Rarely"/>
    <x v="0"/>
    <s v="Current Employees"/>
    <x v="1"/>
    <x v="0"/>
    <s v="STAFF-2052"/>
    <n v="2052"/>
    <x v="0"/>
    <x v="1"/>
    <x v="1"/>
    <s v="No"/>
    <s v="Y"/>
    <n v="5"/>
    <n v="-2"/>
    <n v="0"/>
    <n v="35"/>
    <n v="0"/>
    <m/>
    <n v="0"/>
    <n v="1"/>
    <n v="287"/>
    <n v="1"/>
    <x v="2"/>
    <n v="1"/>
    <n v="3"/>
    <n v="62"/>
    <n v="1"/>
    <n v="1"/>
    <n v="4"/>
    <n v="2977"/>
    <n v="8952"/>
    <n v="1"/>
    <n v="12"/>
    <x v="0"/>
    <n v="4"/>
    <n v="80"/>
    <n v="1"/>
    <n v="4"/>
    <n v="3"/>
    <n v="4"/>
    <n v="3"/>
    <n v="1"/>
    <n v="1"/>
  </r>
  <r>
    <s v="No"/>
    <s v="Travel_Rarely"/>
    <x v="0"/>
    <s v="Current Employees"/>
    <x v="1"/>
    <x v="0"/>
    <s v="STAFF-1802"/>
    <n v="1802"/>
    <x v="0"/>
    <x v="2"/>
    <x v="1"/>
    <s v="No"/>
    <s v="Y"/>
    <n v="5"/>
    <n v="-2"/>
    <n v="0"/>
    <n v="40"/>
    <n v="0"/>
    <m/>
    <n v="0"/>
    <n v="1"/>
    <n v="616"/>
    <n v="2"/>
    <x v="0"/>
    <n v="1"/>
    <n v="3"/>
    <n v="99"/>
    <n v="3"/>
    <n v="1"/>
    <n v="3"/>
    <n v="3377"/>
    <n v="25605"/>
    <n v="4"/>
    <n v="17"/>
    <x v="0"/>
    <n v="4"/>
    <n v="80"/>
    <n v="1"/>
    <n v="7"/>
    <n v="2"/>
    <n v="4"/>
    <n v="3"/>
    <n v="0"/>
    <n v="2"/>
  </r>
  <r>
    <s v="No"/>
    <s v="Travel_Rarely"/>
    <x v="1"/>
    <s v="Current Employees"/>
    <x v="1"/>
    <x v="0"/>
    <s v="STAFF-1617"/>
    <n v="1617"/>
    <x v="0"/>
    <x v="2"/>
    <x v="1"/>
    <s v="No"/>
    <s v="Y"/>
    <n v="3"/>
    <n v="-2"/>
    <n v="0"/>
    <n v="49"/>
    <n v="0"/>
    <m/>
    <n v="0"/>
    <n v="1"/>
    <n v="722"/>
    <n v="25"/>
    <x v="2"/>
    <n v="1"/>
    <n v="3"/>
    <n v="84"/>
    <n v="3"/>
    <n v="1"/>
    <n v="3"/>
    <n v="3211"/>
    <n v="22102"/>
    <n v="1"/>
    <n v="14"/>
    <x v="0"/>
    <n v="4"/>
    <n v="80"/>
    <n v="1"/>
    <n v="10"/>
    <n v="2"/>
    <n v="9"/>
    <n v="6"/>
    <n v="1"/>
    <n v="4"/>
  </r>
  <r>
    <s v="No"/>
    <s v="Travel_Rarely"/>
    <x v="1"/>
    <s v="Current Employees"/>
    <x v="1"/>
    <x v="1"/>
    <s v="STAFF-1576"/>
    <n v="1576"/>
    <x v="0"/>
    <x v="1"/>
    <x v="1"/>
    <s v="No"/>
    <s v="Y"/>
    <n v="3"/>
    <n v="-2"/>
    <n v="0"/>
    <n v="48"/>
    <n v="0"/>
    <m/>
    <n v="0"/>
    <n v="1"/>
    <n v="1108"/>
    <n v="15"/>
    <x v="2"/>
    <n v="1"/>
    <n v="3"/>
    <n v="65"/>
    <n v="3"/>
    <n v="1"/>
    <n v="3"/>
    <n v="2367"/>
    <n v="16530"/>
    <n v="8"/>
    <n v="12"/>
    <x v="0"/>
    <n v="4"/>
    <n v="80"/>
    <n v="1"/>
    <n v="10"/>
    <n v="2"/>
    <n v="8"/>
    <n v="2"/>
    <n v="7"/>
    <n v="6"/>
  </r>
  <r>
    <s v="No"/>
    <s v="Travel_Rarely"/>
    <x v="2"/>
    <s v="Current Employees"/>
    <x v="1"/>
    <x v="0"/>
    <s v="STAFF-1447"/>
    <n v="1447"/>
    <x v="0"/>
    <x v="2"/>
    <x v="1"/>
    <s v="No"/>
    <s v="Y"/>
    <n v="2"/>
    <n v="-2"/>
    <n v="0"/>
    <n v="34"/>
    <n v="0"/>
    <m/>
    <n v="0"/>
    <n v="1"/>
    <n v="401"/>
    <n v="1"/>
    <x v="3"/>
    <n v="1"/>
    <n v="4"/>
    <n v="86"/>
    <n v="2"/>
    <n v="1"/>
    <n v="2"/>
    <n v="3294"/>
    <n v="3708"/>
    <n v="5"/>
    <n v="17"/>
    <x v="0"/>
    <n v="1"/>
    <n v="80"/>
    <n v="1"/>
    <n v="7"/>
    <n v="2"/>
    <n v="5"/>
    <n v="4"/>
    <n v="0"/>
    <n v="2"/>
  </r>
  <r>
    <s v="No"/>
    <s v="Travel_Rarely"/>
    <x v="2"/>
    <s v="Current Employees"/>
    <x v="1"/>
    <x v="0"/>
    <s v="STAFF-1555"/>
    <n v="1555"/>
    <x v="0"/>
    <x v="1"/>
    <x v="1"/>
    <s v="No"/>
    <s v="Y"/>
    <n v="2"/>
    <n v="-2"/>
    <n v="0"/>
    <n v="32"/>
    <n v="0"/>
    <m/>
    <n v="0"/>
    <n v="1"/>
    <n v="824"/>
    <n v="5"/>
    <x v="0"/>
    <n v="1"/>
    <n v="4"/>
    <n v="67"/>
    <n v="2"/>
    <n v="2"/>
    <n v="2"/>
    <n v="5878"/>
    <n v="15624"/>
    <n v="3"/>
    <n v="12"/>
    <x v="0"/>
    <n v="1"/>
    <n v="80"/>
    <n v="1"/>
    <n v="12"/>
    <n v="3"/>
    <n v="7"/>
    <n v="1"/>
    <n v="2"/>
    <n v="5"/>
  </r>
  <r>
    <s v="No"/>
    <s v="Travel_Rarely"/>
    <x v="0"/>
    <s v="Current Employees"/>
    <x v="1"/>
    <x v="1"/>
    <s v="STAFF-1782"/>
    <n v="1782"/>
    <x v="0"/>
    <x v="2"/>
    <x v="1"/>
    <s v="No"/>
    <s v="Y"/>
    <n v="3"/>
    <n v="-2"/>
    <n v="0"/>
    <n v="38"/>
    <n v="0"/>
    <m/>
    <n v="0"/>
    <n v="1"/>
    <n v="1153"/>
    <n v="6"/>
    <x v="0"/>
    <n v="1"/>
    <n v="4"/>
    <n v="40"/>
    <n v="2"/>
    <n v="1"/>
    <n v="3"/>
    <n v="3702"/>
    <n v="16376"/>
    <n v="1"/>
    <n v="11"/>
    <x v="0"/>
    <n v="2"/>
    <n v="80"/>
    <n v="1"/>
    <n v="5"/>
    <n v="3"/>
    <n v="5"/>
    <n v="4"/>
    <n v="0"/>
    <n v="4"/>
  </r>
  <r>
    <s v="No"/>
    <s v="Travel_Rarely"/>
    <x v="0"/>
    <s v="Current Employees"/>
    <x v="1"/>
    <x v="2"/>
    <s v="STAFF-1687"/>
    <n v="1687"/>
    <x v="0"/>
    <x v="2"/>
    <x v="1"/>
    <s v="No"/>
    <s v="Y"/>
    <n v="5"/>
    <n v="-2"/>
    <n v="0"/>
    <n v="38"/>
    <n v="0"/>
    <m/>
    <n v="0"/>
    <n v="1"/>
    <n v="1495"/>
    <n v="4"/>
    <x v="0"/>
    <n v="1"/>
    <n v="4"/>
    <n v="87"/>
    <n v="3"/>
    <n v="1"/>
    <n v="3"/>
    <n v="3306"/>
    <n v="26176"/>
    <n v="7"/>
    <n v="19"/>
    <x v="0"/>
    <n v="4"/>
    <n v="80"/>
    <n v="1"/>
    <n v="7"/>
    <n v="2"/>
    <n v="0"/>
    <n v="0"/>
    <n v="0"/>
    <n v="0"/>
  </r>
  <r>
    <s v="No"/>
    <s v="Travel_Rarely"/>
    <x v="2"/>
    <s v="Current Employees"/>
    <x v="1"/>
    <x v="2"/>
    <s v="STAFF-1709"/>
    <n v="1709"/>
    <x v="0"/>
    <x v="2"/>
    <x v="1"/>
    <s v="No"/>
    <s v="Y"/>
    <n v="2"/>
    <n v="-2"/>
    <n v="0"/>
    <n v="29"/>
    <n v="0"/>
    <m/>
    <n v="0"/>
    <n v="1"/>
    <n v="1082"/>
    <n v="9"/>
    <x v="2"/>
    <n v="1"/>
    <n v="4"/>
    <n v="43"/>
    <n v="3"/>
    <n v="1"/>
    <n v="3"/>
    <n v="2974"/>
    <n v="25412"/>
    <n v="9"/>
    <n v="17"/>
    <x v="0"/>
    <n v="3"/>
    <n v="80"/>
    <n v="1"/>
    <n v="9"/>
    <n v="3"/>
    <n v="5"/>
    <n v="3"/>
    <n v="1"/>
    <n v="2"/>
  </r>
  <r>
    <s v="No"/>
    <s v="Travel_Rarely"/>
    <x v="1"/>
    <s v="Current Employees"/>
    <x v="1"/>
    <x v="2"/>
    <s v="STAFF-1830"/>
    <n v="1830"/>
    <x v="0"/>
    <x v="1"/>
    <x v="1"/>
    <s v="No"/>
    <s v="Y"/>
    <n v="2"/>
    <n v="-2"/>
    <n v="0"/>
    <n v="54"/>
    <n v="0"/>
    <m/>
    <n v="0"/>
    <n v="1"/>
    <n v="431"/>
    <n v="7"/>
    <x v="2"/>
    <n v="1"/>
    <n v="4"/>
    <n v="68"/>
    <n v="3"/>
    <n v="2"/>
    <n v="4"/>
    <n v="6854"/>
    <n v="15696"/>
    <n v="4"/>
    <n v="15"/>
    <x v="0"/>
    <n v="2"/>
    <n v="80"/>
    <n v="1"/>
    <n v="14"/>
    <n v="2"/>
    <n v="7"/>
    <n v="1"/>
    <n v="1"/>
    <n v="7"/>
  </r>
  <r>
    <s v="No"/>
    <s v="Travel_Rarely"/>
    <x v="0"/>
    <s v="Current Employees"/>
    <x v="1"/>
    <x v="0"/>
    <s v="STAFF-1628"/>
    <n v="1628"/>
    <x v="0"/>
    <x v="3"/>
    <x v="1"/>
    <s v="No"/>
    <s v="Y"/>
    <n v="2"/>
    <n v="-2"/>
    <n v="0"/>
    <n v="40"/>
    <n v="0"/>
    <m/>
    <n v="0"/>
    <n v="1"/>
    <n v="884"/>
    <n v="15"/>
    <x v="3"/>
    <n v="1"/>
    <n v="1"/>
    <n v="80"/>
    <n v="2"/>
    <n v="3"/>
    <n v="3"/>
    <n v="10435"/>
    <n v="25800"/>
    <n v="1"/>
    <n v="13"/>
    <x v="0"/>
    <n v="4"/>
    <n v="80"/>
    <n v="2"/>
    <n v="18"/>
    <n v="3"/>
    <n v="18"/>
    <n v="15"/>
    <n v="14"/>
    <n v="12"/>
  </r>
  <r>
    <s v="No"/>
    <s v="Travel_Rarely"/>
    <x v="1"/>
    <s v="Current Employees"/>
    <x v="1"/>
    <x v="1"/>
    <s v="STAFF-1655"/>
    <n v="1655"/>
    <x v="0"/>
    <x v="7"/>
    <x v="1"/>
    <s v="No"/>
    <s v="Y"/>
    <n v="2"/>
    <n v="-2"/>
    <n v="0"/>
    <n v="49"/>
    <n v="0"/>
    <m/>
    <n v="0"/>
    <n v="1"/>
    <n v="301"/>
    <n v="22"/>
    <x v="2"/>
    <n v="1"/>
    <n v="1"/>
    <n v="72"/>
    <n v="3"/>
    <n v="4"/>
    <n v="2"/>
    <n v="16413"/>
    <n v="3498"/>
    <n v="3"/>
    <n v="16"/>
    <x v="0"/>
    <n v="2"/>
    <n v="80"/>
    <n v="2"/>
    <n v="27"/>
    <n v="3"/>
    <n v="4"/>
    <n v="2"/>
    <n v="1"/>
    <n v="2"/>
  </r>
  <r>
    <s v="No"/>
    <s v="Travel_Rarely"/>
    <x v="1"/>
    <s v="Current Employees"/>
    <x v="1"/>
    <x v="0"/>
    <s v="STAFF-1969"/>
    <n v="1969"/>
    <x v="0"/>
    <x v="1"/>
    <x v="1"/>
    <s v="No"/>
    <s v="Y"/>
    <n v="6"/>
    <n v="-2"/>
    <n v="0"/>
    <n v="54"/>
    <n v="0"/>
    <m/>
    <n v="0"/>
    <n v="1"/>
    <n v="155"/>
    <n v="9"/>
    <x v="0"/>
    <n v="1"/>
    <n v="1"/>
    <n v="67"/>
    <n v="3"/>
    <n v="2"/>
    <n v="3"/>
    <n v="2897"/>
    <n v="22474"/>
    <n v="3"/>
    <n v="11"/>
    <x v="0"/>
    <n v="3"/>
    <n v="80"/>
    <n v="2"/>
    <n v="9"/>
    <n v="2"/>
    <n v="4"/>
    <n v="3"/>
    <n v="2"/>
    <n v="3"/>
  </r>
  <r>
    <s v="No"/>
    <s v="Travel_Rarely"/>
    <x v="1"/>
    <s v="Current Employees"/>
    <x v="1"/>
    <x v="2"/>
    <s v="STAFF-1443"/>
    <n v="1443"/>
    <x v="0"/>
    <x v="7"/>
    <x v="1"/>
    <s v="No"/>
    <s v="Y"/>
    <n v="2"/>
    <n v="-2"/>
    <n v="0"/>
    <n v="47"/>
    <n v="0"/>
    <m/>
    <n v="0"/>
    <n v="1"/>
    <n v="359"/>
    <n v="2"/>
    <x v="2"/>
    <n v="1"/>
    <n v="1"/>
    <n v="82"/>
    <n v="3"/>
    <n v="4"/>
    <n v="3"/>
    <n v="17169"/>
    <n v="26703"/>
    <n v="3"/>
    <n v="19"/>
    <x v="0"/>
    <n v="2"/>
    <n v="80"/>
    <n v="2"/>
    <n v="26"/>
    <n v="4"/>
    <n v="20"/>
    <n v="17"/>
    <n v="5"/>
    <n v="6"/>
  </r>
  <r>
    <s v="No"/>
    <s v="Travel_Rarely"/>
    <x v="1"/>
    <s v="Current Employees"/>
    <x v="1"/>
    <x v="0"/>
    <s v="STAFF-1888"/>
    <n v="1888"/>
    <x v="0"/>
    <x v="3"/>
    <x v="1"/>
    <s v="No"/>
    <s v="Y"/>
    <n v="2"/>
    <n v="-2"/>
    <n v="0"/>
    <n v="45"/>
    <n v="0"/>
    <m/>
    <n v="0"/>
    <n v="1"/>
    <n v="556"/>
    <n v="25"/>
    <x v="0"/>
    <n v="1"/>
    <n v="2"/>
    <n v="93"/>
    <n v="2"/>
    <n v="2"/>
    <n v="4"/>
    <n v="5906"/>
    <n v="23888"/>
    <n v="0"/>
    <n v="13"/>
    <x v="0"/>
    <n v="4"/>
    <n v="80"/>
    <n v="2"/>
    <n v="10"/>
    <n v="2"/>
    <n v="9"/>
    <n v="8"/>
    <n v="3"/>
    <n v="8"/>
  </r>
  <r>
    <s v="No"/>
    <s v="Travel_Rarely"/>
    <x v="0"/>
    <s v="Current Employees"/>
    <x v="1"/>
    <x v="0"/>
    <s v="STAFF-1651"/>
    <n v="1651"/>
    <x v="0"/>
    <x v="4"/>
    <x v="1"/>
    <s v="No"/>
    <s v="Y"/>
    <n v="6"/>
    <n v="-2"/>
    <n v="0"/>
    <n v="36"/>
    <n v="0"/>
    <m/>
    <n v="0"/>
    <n v="1"/>
    <n v="711"/>
    <n v="5"/>
    <x v="2"/>
    <n v="1"/>
    <n v="2"/>
    <n v="42"/>
    <n v="3"/>
    <n v="3"/>
    <n v="3"/>
    <n v="8008"/>
    <n v="22792"/>
    <n v="4"/>
    <n v="12"/>
    <x v="0"/>
    <n v="3"/>
    <n v="80"/>
    <n v="2"/>
    <n v="9"/>
    <n v="3"/>
    <n v="3"/>
    <n v="2"/>
    <n v="0"/>
    <n v="2"/>
  </r>
  <r>
    <s v="No"/>
    <s v="Travel_Rarely"/>
    <x v="2"/>
    <s v="Current Employees"/>
    <x v="1"/>
    <x v="1"/>
    <s v="STAFF-1607"/>
    <n v="1607"/>
    <x v="0"/>
    <x v="1"/>
    <x v="1"/>
    <s v="No"/>
    <s v="Y"/>
    <n v="3"/>
    <n v="-2"/>
    <n v="0"/>
    <n v="32"/>
    <n v="0"/>
    <m/>
    <n v="0"/>
    <n v="1"/>
    <n v="634"/>
    <n v="5"/>
    <x v="2"/>
    <n v="1"/>
    <n v="2"/>
    <n v="35"/>
    <n v="4"/>
    <n v="1"/>
    <n v="4"/>
    <n v="3312"/>
    <n v="18783"/>
    <n v="3"/>
    <n v="17"/>
    <x v="0"/>
    <n v="4"/>
    <n v="80"/>
    <n v="2"/>
    <n v="6"/>
    <n v="3"/>
    <n v="3"/>
    <n v="2"/>
    <n v="0"/>
    <n v="2"/>
  </r>
  <r>
    <s v="No"/>
    <s v="Travel_Rarely"/>
    <x v="0"/>
    <s v="Current Employees"/>
    <x v="1"/>
    <x v="2"/>
    <s v="STAFF-2051"/>
    <n v="2051"/>
    <x v="0"/>
    <x v="1"/>
    <x v="1"/>
    <s v="No"/>
    <s v="Y"/>
    <n v="2"/>
    <n v="-2"/>
    <n v="0"/>
    <n v="40"/>
    <n v="0"/>
    <m/>
    <n v="0"/>
    <n v="1"/>
    <n v="1194"/>
    <n v="2"/>
    <x v="2"/>
    <n v="1"/>
    <n v="3"/>
    <n v="98"/>
    <n v="3"/>
    <n v="1"/>
    <n v="3"/>
    <n v="2001"/>
    <n v="12549"/>
    <n v="2"/>
    <n v="14"/>
    <x v="0"/>
    <n v="2"/>
    <n v="80"/>
    <n v="3"/>
    <n v="20"/>
    <n v="3"/>
    <n v="5"/>
    <n v="3"/>
    <n v="0"/>
    <n v="2"/>
  </r>
  <r>
    <s v="No"/>
    <s v="Travel_Rarely"/>
    <x v="2"/>
    <s v="Current Employees"/>
    <x v="1"/>
    <x v="0"/>
    <s v="STAFF-1430"/>
    <n v="1430"/>
    <x v="0"/>
    <x v="7"/>
    <x v="0"/>
    <s v="No"/>
    <s v="Y"/>
    <n v="3"/>
    <n v="-2"/>
    <n v="0"/>
    <n v="31"/>
    <n v="0"/>
    <m/>
    <n v="0"/>
    <n v="1"/>
    <n v="182"/>
    <n v="8"/>
    <x v="4"/>
    <n v="1"/>
    <n v="1"/>
    <n v="93"/>
    <n v="3"/>
    <n v="4"/>
    <n v="2"/>
    <n v="16422"/>
    <n v="8847"/>
    <n v="3"/>
    <n v="11"/>
    <x v="0"/>
    <n v="3"/>
    <n v="80"/>
    <n v="0"/>
    <n v="9"/>
    <n v="4"/>
    <n v="3"/>
    <n v="2"/>
    <n v="1"/>
    <n v="0"/>
  </r>
  <r>
    <s v="No"/>
    <s v="Travel_Rarely"/>
    <x v="0"/>
    <s v="Current Employees"/>
    <x v="1"/>
    <x v="2"/>
    <s v="STAFF-1411"/>
    <n v="1411"/>
    <x v="0"/>
    <x v="2"/>
    <x v="0"/>
    <s v="No"/>
    <s v="Y"/>
    <n v="6"/>
    <n v="-2"/>
    <n v="0"/>
    <n v="37"/>
    <n v="0"/>
    <m/>
    <n v="0"/>
    <n v="1"/>
    <n v="1462"/>
    <n v="11"/>
    <x v="3"/>
    <n v="1"/>
    <n v="1"/>
    <n v="94"/>
    <n v="3"/>
    <n v="1"/>
    <n v="3"/>
    <n v="3629"/>
    <n v="19106"/>
    <n v="4"/>
    <n v="18"/>
    <x v="0"/>
    <n v="1"/>
    <n v="80"/>
    <n v="0"/>
    <n v="8"/>
    <n v="3"/>
    <n v="3"/>
    <n v="2"/>
    <n v="0"/>
    <n v="2"/>
  </r>
  <r>
    <s v="No"/>
    <s v="Travel_Rarely"/>
    <x v="2"/>
    <s v="Current Employees"/>
    <x v="1"/>
    <x v="2"/>
    <s v="STAFF-1816"/>
    <n v="1816"/>
    <x v="0"/>
    <x v="3"/>
    <x v="0"/>
    <s v="No"/>
    <s v="Y"/>
    <n v="3"/>
    <n v="-2"/>
    <n v="0"/>
    <n v="30"/>
    <n v="0"/>
    <m/>
    <n v="0"/>
    <n v="1"/>
    <n v="1092"/>
    <n v="10"/>
    <x v="3"/>
    <n v="1"/>
    <n v="1"/>
    <n v="64"/>
    <n v="3"/>
    <n v="3"/>
    <n v="3"/>
    <n v="9667"/>
    <n v="2739"/>
    <n v="9"/>
    <n v="14"/>
    <x v="0"/>
    <n v="2"/>
    <n v="80"/>
    <n v="0"/>
    <n v="9"/>
    <n v="3"/>
    <n v="7"/>
    <n v="7"/>
    <n v="0"/>
    <n v="2"/>
  </r>
  <r>
    <s v="No"/>
    <s v="Travel_Rarely"/>
    <x v="0"/>
    <s v="Current Employees"/>
    <x v="1"/>
    <x v="0"/>
    <s v="STAFF-1525"/>
    <n v="1525"/>
    <x v="0"/>
    <x v="3"/>
    <x v="0"/>
    <s v="No"/>
    <s v="Y"/>
    <n v="3"/>
    <n v="-2"/>
    <n v="0"/>
    <n v="39"/>
    <n v="0"/>
    <m/>
    <n v="0"/>
    <n v="1"/>
    <n v="1089"/>
    <n v="6"/>
    <x v="3"/>
    <n v="1"/>
    <n v="2"/>
    <n v="32"/>
    <n v="3"/>
    <n v="3"/>
    <n v="2"/>
    <n v="8376"/>
    <n v="9150"/>
    <n v="4"/>
    <n v="18"/>
    <x v="0"/>
    <n v="4"/>
    <n v="80"/>
    <n v="0"/>
    <n v="9"/>
    <n v="3"/>
    <n v="2"/>
    <n v="0"/>
    <n v="2"/>
    <n v="2"/>
  </r>
  <r>
    <s v="No"/>
    <s v="Travel_Rarely"/>
    <x v="1"/>
    <s v="Current Employees"/>
    <x v="1"/>
    <x v="0"/>
    <s v="STAFF-1856"/>
    <n v="1856"/>
    <x v="0"/>
    <x v="2"/>
    <x v="0"/>
    <s v="No"/>
    <s v="Y"/>
    <n v="2"/>
    <n v="-2"/>
    <n v="0"/>
    <n v="47"/>
    <n v="0"/>
    <m/>
    <n v="0"/>
    <n v="1"/>
    <n v="207"/>
    <n v="9"/>
    <x v="2"/>
    <n v="1"/>
    <n v="2"/>
    <n v="64"/>
    <n v="3"/>
    <n v="1"/>
    <n v="3"/>
    <n v="2105"/>
    <n v="5411"/>
    <n v="4"/>
    <n v="12"/>
    <x v="0"/>
    <n v="3"/>
    <n v="80"/>
    <n v="0"/>
    <n v="7"/>
    <n v="3"/>
    <n v="2"/>
    <n v="2"/>
    <n v="2"/>
    <n v="0"/>
  </r>
  <r>
    <s v="No"/>
    <s v="Travel_Rarely"/>
    <x v="2"/>
    <s v="Current Employees"/>
    <x v="1"/>
    <x v="0"/>
    <s v="STAFF-2010"/>
    <n v="2010"/>
    <x v="0"/>
    <x v="2"/>
    <x v="0"/>
    <s v="No"/>
    <s v="Y"/>
    <n v="3"/>
    <n v="-2"/>
    <n v="0"/>
    <n v="32"/>
    <n v="0"/>
    <m/>
    <n v="0"/>
    <n v="1"/>
    <n v="267"/>
    <n v="29"/>
    <x v="2"/>
    <n v="1"/>
    <n v="3"/>
    <n v="49"/>
    <n v="2"/>
    <n v="1"/>
    <n v="2"/>
    <n v="2837"/>
    <n v="15919"/>
    <n v="1"/>
    <n v="13"/>
    <x v="0"/>
    <n v="3"/>
    <n v="80"/>
    <n v="0"/>
    <n v="6"/>
    <n v="3"/>
    <n v="6"/>
    <n v="2"/>
    <n v="4"/>
    <n v="1"/>
  </r>
  <r>
    <s v="No"/>
    <s v="Travel_Rarely"/>
    <x v="4"/>
    <s v="Current Employees"/>
    <x v="1"/>
    <x v="2"/>
    <s v="STAFF-1735"/>
    <n v="1735"/>
    <x v="0"/>
    <x v="2"/>
    <x v="0"/>
    <s v="No"/>
    <s v="Y"/>
    <n v="3"/>
    <n v="-2"/>
    <n v="0"/>
    <n v="23"/>
    <n v="0"/>
    <m/>
    <n v="0"/>
    <n v="1"/>
    <n v="160"/>
    <n v="4"/>
    <x v="1"/>
    <n v="1"/>
    <n v="3"/>
    <n v="51"/>
    <n v="3"/>
    <n v="1"/>
    <n v="2"/>
    <n v="3295"/>
    <n v="12862"/>
    <n v="1"/>
    <n v="13"/>
    <x v="0"/>
    <n v="3"/>
    <n v="80"/>
    <n v="0"/>
    <n v="3"/>
    <n v="1"/>
    <n v="3"/>
    <n v="2"/>
    <n v="1"/>
    <n v="2"/>
  </r>
  <r>
    <s v="No"/>
    <s v="Travel_Rarely"/>
    <x v="2"/>
    <s v="Current Employees"/>
    <x v="1"/>
    <x v="2"/>
    <s v="STAFF-1751"/>
    <n v="1751"/>
    <x v="0"/>
    <x v="1"/>
    <x v="0"/>
    <s v="No"/>
    <s v="Y"/>
    <n v="5"/>
    <n v="-2"/>
    <n v="0"/>
    <n v="27"/>
    <n v="0"/>
    <m/>
    <n v="0"/>
    <n v="1"/>
    <n v="1054"/>
    <n v="8"/>
    <x v="3"/>
    <n v="1"/>
    <n v="3"/>
    <n v="67"/>
    <n v="3"/>
    <n v="1"/>
    <n v="4"/>
    <n v="3445"/>
    <n v="6152"/>
    <n v="1"/>
    <n v="11"/>
    <x v="0"/>
    <n v="3"/>
    <n v="80"/>
    <n v="0"/>
    <n v="6"/>
    <n v="2"/>
    <n v="6"/>
    <n v="2"/>
    <n v="1"/>
    <n v="4"/>
  </r>
  <r>
    <s v="No"/>
    <s v="Travel_Rarely"/>
    <x v="2"/>
    <s v="Current Employees"/>
    <x v="1"/>
    <x v="2"/>
    <s v="STAFF-2054"/>
    <n v="2054"/>
    <x v="0"/>
    <x v="1"/>
    <x v="0"/>
    <s v="No"/>
    <s v="Y"/>
    <n v="3"/>
    <n v="-2"/>
    <n v="0"/>
    <n v="29"/>
    <n v="0"/>
    <m/>
    <n v="0"/>
    <n v="1"/>
    <n v="468"/>
    <n v="28"/>
    <x v="2"/>
    <n v="1"/>
    <n v="4"/>
    <n v="73"/>
    <n v="2"/>
    <n v="1"/>
    <n v="3"/>
    <n v="3785"/>
    <n v="8489"/>
    <n v="1"/>
    <n v="14"/>
    <x v="0"/>
    <n v="2"/>
    <n v="80"/>
    <n v="0"/>
    <n v="5"/>
    <n v="1"/>
    <n v="5"/>
    <n v="4"/>
    <n v="0"/>
    <n v="4"/>
  </r>
  <r>
    <s v="No"/>
    <s v="Travel_Rarely"/>
    <x v="0"/>
    <s v="Current Employees"/>
    <x v="1"/>
    <x v="0"/>
    <s v="STAFF-1529"/>
    <n v="1529"/>
    <x v="0"/>
    <x v="4"/>
    <x v="0"/>
    <s v="No"/>
    <s v="Y"/>
    <n v="3"/>
    <n v="-2"/>
    <n v="0"/>
    <n v="35"/>
    <n v="0"/>
    <m/>
    <n v="0"/>
    <n v="1"/>
    <n v="1029"/>
    <n v="16"/>
    <x v="3"/>
    <n v="1"/>
    <n v="4"/>
    <n v="91"/>
    <n v="2"/>
    <n v="3"/>
    <n v="2"/>
    <n v="8606"/>
    <n v="21195"/>
    <n v="1"/>
    <n v="19"/>
    <x v="0"/>
    <n v="4"/>
    <n v="80"/>
    <n v="0"/>
    <n v="11"/>
    <n v="1"/>
    <n v="11"/>
    <n v="8"/>
    <n v="3"/>
    <n v="3"/>
  </r>
  <r>
    <s v="No"/>
    <s v="Travel_Rarely"/>
    <x v="1"/>
    <s v="Current Employees"/>
    <x v="1"/>
    <x v="4"/>
    <s v="STAFF-1719"/>
    <n v="1719"/>
    <x v="0"/>
    <x v="7"/>
    <x v="0"/>
    <s v="No"/>
    <s v="Y"/>
    <n v="2"/>
    <n v="-2"/>
    <n v="0"/>
    <n v="45"/>
    <n v="0"/>
    <m/>
    <n v="0"/>
    <n v="1"/>
    <n v="1005"/>
    <n v="28"/>
    <x v="0"/>
    <n v="1"/>
    <n v="4"/>
    <n v="48"/>
    <n v="2"/>
    <n v="4"/>
    <n v="4"/>
    <n v="16704"/>
    <n v="17119"/>
    <n v="1"/>
    <n v="11"/>
    <x v="0"/>
    <n v="3"/>
    <n v="80"/>
    <n v="0"/>
    <n v="21"/>
    <n v="3"/>
    <n v="21"/>
    <n v="6"/>
    <n v="8"/>
    <n v="6"/>
  </r>
  <r>
    <s v="No"/>
    <s v="Travel_Rarely"/>
    <x v="1"/>
    <s v="Current Employees"/>
    <x v="1"/>
    <x v="2"/>
    <s v="STAFF-1422"/>
    <n v="1422"/>
    <x v="0"/>
    <x v="7"/>
    <x v="0"/>
    <s v="No"/>
    <s v="Y"/>
    <n v="3"/>
    <n v="-2"/>
    <n v="0"/>
    <n v="54"/>
    <n v="0"/>
    <m/>
    <n v="0"/>
    <n v="1"/>
    <n v="971"/>
    <n v="1"/>
    <x v="3"/>
    <n v="1"/>
    <n v="4"/>
    <n v="54"/>
    <n v="3"/>
    <n v="4"/>
    <n v="4"/>
    <n v="17328"/>
    <n v="5652"/>
    <n v="6"/>
    <n v="19"/>
    <x v="0"/>
    <n v="4"/>
    <n v="80"/>
    <n v="0"/>
    <n v="29"/>
    <n v="2"/>
    <n v="20"/>
    <n v="7"/>
    <n v="12"/>
    <n v="7"/>
  </r>
  <r>
    <s v="No"/>
    <s v="Travel_Rarely"/>
    <x v="1"/>
    <s v="Current Employees"/>
    <x v="0"/>
    <x v="4"/>
    <s v="STAFF-1863"/>
    <n v="1863"/>
    <x v="0"/>
    <x v="0"/>
    <x v="2"/>
    <s v="No"/>
    <s v="Y"/>
    <n v="5"/>
    <n v="-2"/>
    <n v="0"/>
    <n v="46"/>
    <n v="0"/>
    <m/>
    <n v="0"/>
    <n v="1"/>
    <n v="1319"/>
    <n v="3"/>
    <x v="3"/>
    <n v="1"/>
    <n v="4"/>
    <n v="45"/>
    <n v="4"/>
    <n v="4"/>
    <n v="4"/>
    <n v="13225"/>
    <n v="7739"/>
    <n v="2"/>
    <n v="12"/>
    <x v="0"/>
    <n v="4"/>
    <n v="80"/>
    <n v="1"/>
    <n v="25"/>
    <n v="3"/>
    <n v="19"/>
    <n v="17"/>
    <n v="2"/>
    <n v="8"/>
  </r>
  <r>
    <s v="No"/>
    <s v="Travel_Rarely"/>
    <x v="1"/>
    <s v="Current Employees"/>
    <x v="0"/>
    <x v="0"/>
    <s v="STAFF-1557"/>
    <n v="1557"/>
    <x v="0"/>
    <x v="0"/>
    <x v="2"/>
    <s v="No"/>
    <s v="Y"/>
    <n v="2"/>
    <n v="-2"/>
    <n v="0"/>
    <n v="48"/>
    <n v="0"/>
    <m/>
    <n v="0"/>
    <n v="1"/>
    <n v="492"/>
    <n v="16"/>
    <x v="2"/>
    <n v="1"/>
    <n v="3"/>
    <n v="96"/>
    <n v="3"/>
    <n v="2"/>
    <n v="3"/>
    <n v="6439"/>
    <n v="13693"/>
    <n v="8"/>
    <n v="14"/>
    <x v="0"/>
    <n v="3"/>
    <n v="80"/>
    <n v="1"/>
    <n v="18"/>
    <n v="3"/>
    <n v="8"/>
    <n v="7"/>
    <n v="7"/>
    <n v="7"/>
  </r>
  <r>
    <s v="No"/>
    <s v="Travel_Rarely"/>
    <x v="2"/>
    <s v="Current Employees"/>
    <x v="0"/>
    <x v="3"/>
    <s v="STAFF-1428"/>
    <n v="1428"/>
    <x v="0"/>
    <x v="0"/>
    <x v="2"/>
    <s v="No"/>
    <s v="Y"/>
    <n v="3"/>
    <n v="-2"/>
    <n v="0"/>
    <n v="30"/>
    <n v="0"/>
    <m/>
    <n v="0"/>
    <n v="1"/>
    <n v="855"/>
    <n v="7"/>
    <x v="2"/>
    <n v="1"/>
    <n v="4"/>
    <n v="73"/>
    <n v="3"/>
    <n v="2"/>
    <n v="2"/>
    <n v="4779"/>
    <n v="12761"/>
    <n v="7"/>
    <n v="14"/>
    <x v="0"/>
    <n v="2"/>
    <n v="80"/>
    <n v="2"/>
    <n v="8"/>
    <n v="3"/>
    <n v="3"/>
    <n v="2"/>
    <n v="0"/>
    <n v="2"/>
  </r>
  <r>
    <s v="No"/>
    <s v="Travel_Rarely"/>
    <x v="1"/>
    <s v="Current Employees"/>
    <x v="0"/>
    <x v="0"/>
    <s v="STAFF-1676"/>
    <n v="1676"/>
    <x v="0"/>
    <x v="5"/>
    <x v="2"/>
    <s v="No"/>
    <s v="Y"/>
    <n v="2"/>
    <n v="-2"/>
    <n v="0"/>
    <n v="47"/>
    <n v="0"/>
    <m/>
    <n v="0"/>
    <n v="1"/>
    <n v="1225"/>
    <n v="2"/>
    <x v="2"/>
    <n v="1"/>
    <n v="2"/>
    <n v="47"/>
    <n v="4"/>
    <n v="4"/>
    <n v="2"/>
    <n v="15972"/>
    <n v="21086"/>
    <n v="6"/>
    <n v="14"/>
    <x v="0"/>
    <n v="3"/>
    <n v="80"/>
    <n v="3"/>
    <n v="29"/>
    <n v="3"/>
    <n v="3"/>
    <n v="2"/>
    <n v="1"/>
    <n v="2"/>
  </r>
  <r>
    <s v="No"/>
    <s v="Travel_Rarely"/>
    <x v="0"/>
    <s v="Current Employees"/>
    <x v="0"/>
    <x v="0"/>
    <s v="STAFF-2041"/>
    <n v="2041"/>
    <x v="0"/>
    <x v="0"/>
    <x v="1"/>
    <s v="No"/>
    <s v="Y"/>
    <n v="1"/>
    <n v="-2"/>
    <n v="0"/>
    <n v="38"/>
    <n v="0"/>
    <m/>
    <n v="0"/>
    <n v="1"/>
    <n v="345"/>
    <n v="10"/>
    <x v="0"/>
    <n v="1"/>
    <n v="1"/>
    <n v="100"/>
    <n v="3"/>
    <n v="2"/>
    <n v="4"/>
    <n v="5343"/>
    <n v="5982"/>
    <n v="1"/>
    <n v="11"/>
    <x v="0"/>
    <n v="3"/>
    <n v="80"/>
    <n v="1"/>
    <n v="10"/>
    <n v="3"/>
    <n v="10"/>
    <n v="7"/>
    <n v="1"/>
    <n v="9"/>
  </r>
  <r>
    <s v="No"/>
    <s v="Travel_Rarely"/>
    <x v="0"/>
    <s v="Current Employees"/>
    <x v="0"/>
    <x v="3"/>
    <s v="STAFF-2045"/>
    <n v="2045"/>
    <x v="0"/>
    <x v="0"/>
    <x v="1"/>
    <s v="No"/>
    <s v="Y"/>
    <n v="2"/>
    <n v="-2"/>
    <n v="0"/>
    <n v="36"/>
    <n v="0"/>
    <m/>
    <n v="0"/>
    <n v="1"/>
    <n v="1120"/>
    <n v="11"/>
    <x v="2"/>
    <n v="1"/>
    <n v="2"/>
    <n v="100"/>
    <n v="2"/>
    <n v="2"/>
    <n v="2"/>
    <n v="6652"/>
    <n v="14369"/>
    <n v="4"/>
    <n v="13"/>
    <x v="0"/>
    <n v="1"/>
    <n v="80"/>
    <n v="1"/>
    <n v="8"/>
    <n v="2"/>
    <n v="6"/>
    <n v="3"/>
    <n v="0"/>
    <n v="0"/>
  </r>
  <r>
    <s v="No"/>
    <s v="Travel_Rarely"/>
    <x v="0"/>
    <s v="Current Employees"/>
    <x v="0"/>
    <x v="3"/>
    <s v="STAFF-2056"/>
    <n v="2056"/>
    <x v="0"/>
    <x v="0"/>
    <x v="1"/>
    <s v="No"/>
    <s v="Y"/>
    <n v="2"/>
    <n v="-2"/>
    <n v="0"/>
    <n v="39"/>
    <n v="0"/>
    <m/>
    <n v="0"/>
    <n v="1"/>
    <n v="722"/>
    <n v="24"/>
    <x v="1"/>
    <n v="1"/>
    <n v="2"/>
    <n v="60"/>
    <n v="2"/>
    <n v="4"/>
    <n v="2"/>
    <n v="12031"/>
    <n v="8828"/>
    <n v="0"/>
    <n v="11"/>
    <x v="0"/>
    <n v="1"/>
    <n v="80"/>
    <n v="1"/>
    <n v="21"/>
    <n v="2"/>
    <n v="20"/>
    <n v="9"/>
    <n v="9"/>
    <n v="6"/>
  </r>
  <r>
    <s v="No"/>
    <s v="Travel_Rarely"/>
    <x v="0"/>
    <s v="Current Employees"/>
    <x v="0"/>
    <x v="3"/>
    <s v="STAFF-1986"/>
    <n v="1986"/>
    <x v="0"/>
    <x v="0"/>
    <x v="1"/>
    <s v="No"/>
    <s v="Y"/>
    <n v="4"/>
    <n v="-2"/>
    <n v="0"/>
    <n v="40"/>
    <n v="0"/>
    <m/>
    <n v="0"/>
    <n v="1"/>
    <n v="444"/>
    <n v="2"/>
    <x v="0"/>
    <n v="1"/>
    <n v="2"/>
    <n v="92"/>
    <n v="3"/>
    <n v="2"/>
    <n v="2"/>
    <n v="5677"/>
    <n v="4258"/>
    <n v="3"/>
    <n v="14"/>
    <x v="0"/>
    <n v="3"/>
    <n v="80"/>
    <n v="1"/>
    <n v="15"/>
    <n v="3"/>
    <n v="11"/>
    <n v="8"/>
    <n v="5"/>
    <n v="10"/>
  </r>
  <r>
    <s v="No"/>
    <s v="Travel_Rarely"/>
    <x v="2"/>
    <s v="Current Employees"/>
    <x v="0"/>
    <x v="2"/>
    <s v="STAFF-1875"/>
    <n v="1875"/>
    <x v="0"/>
    <x v="6"/>
    <x v="1"/>
    <s v="No"/>
    <s v="Y"/>
    <n v="3"/>
    <n v="-2"/>
    <n v="0"/>
    <n v="28"/>
    <n v="0"/>
    <m/>
    <n v="0"/>
    <n v="1"/>
    <n v="1172"/>
    <n v="3"/>
    <x v="3"/>
    <n v="1"/>
    <n v="2"/>
    <n v="78"/>
    <n v="3"/>
    <n v="1"/>
    <n v="2"/>
    <n v="2856"/>
    <n v="3692"/>
    <n v="1"/>
    <n v="19"/>
    <x v="0"/>
    <n v="4"/>
    <n v="80"/>
    <n v="1"/>
    <n v="1"/>
    <n v="3"/>
    <n v="1"/>
    <n v="0"/>
    <n v="0"/>
    <n v="0"/>
  </r>
  <r>
    <s v="No"/>
    <s v="Travel_Rarely"/>
    <x v="1"/>
    <s v="Current Employees"/>
    <x v="0"/>
    <x v="0"/>
    <s v="STAFF-1527"/>
    <n v="1527"/>
    <x v="0"/>
    <x v="5"/>
    <x v="1"/>
    <s v="No"/>
    <s v="Y"/>
    <n v="2"/>
    <n v="-2"/>
    <n v="0"/>
    <n v="46"/>
    <n v="0"/>
    <m/>
    <n v="0"/>
    <n v="1"/>
    <n v="228"/>
    <n v="3"/>
    <x v="3"/>
    <n v="1"/>
    <n v="3"/>
    <n v="51"/>
    <n v="3"/>
    <n v="4"/>
    <n v="2"/>
    <n v="16606"/>
    <n v="11380"/>
    <n v="8"/>
    <n v="12"/>
    <x v="0"/>
    <n v="4"/>
    <n v="80"/>
    <n v="1"/>
    <n v="23"/>
    <n v="4"/>
    <n v="13"/>
    <n v="12"/>
    <n v="5"/>
    <n v="1"/>
  </r>
  <r>
    <s v="No"/>
    <s v="Travel_Rarely"/>
    <x v="3"/>
    <s v="Current Employees"/>
    <x v="0"/>
    <x v="3"/>
    <s v="STAFF-1935"/>
    <n v="1935"/>
    <x v="0"/>
    <x v="0"/>
    <x v="1"/>
    <s v="No"/>
    <s v="Y"/>
    <n v="3"/>
    <n v="-2"/>
    <n v="0"/>
    <n v="56"/>
    <n v="0"/>
    <m/>
    <n v="0"/>
    <n v="1"/>
    <n v="1443"/>
    <n v="11"/>
    <x v="4"/>
    <n v="1"/>
    <n v="4"/>
    <n v="89"/>
    <n v="2"/>
    <n v="2"/>
    <n v="2"/>
    <n v="5380"/>
    <n v="20328"/>
    <n v="4"/>
    <n v="16"/>
    <x v="0"/>
    <n v="3"/>
    <n v="80"/>
    <n v="1"/>
    <n v="6"/>
    <n v="3"/>
    <n v="0"/>
    <n v="0"/>
    <n v="0"/>
    <n v="0"/>
  </r>
  <r>
    <s v="No"/>
    <s v="Travel_Rarely"/>
    <x v="0"/>
    <s v="Current Employees"/>
    <x v="0"/>
    <x v="0"/>
    <s v="STAFF-1598"/>
    <n v="1598"/>
    <x v="0"/>
    <x v="0"/>
    <x v="1"/>
    <s v="No"/>
    <s v="Y"/>
    <n v="2"/>
    <n v="-2"/>
    <n v="0"/>
    <n v="40"/>
    <n v="0"/>
    <m/>
    <n v="0"/>
    <n v="1"/>
    <n v="118"/>
    <n v="14"/>
    <x v="0"/>
    <n v="1"/>
    <n v="4"/>
    <n v="84"/>
    <n v="3"/>
    <n v="2"/>
    <n v="3"/>
    <n v="4639"/>
    <n v="11262"/>
    <n v="1"/>
    <n v="15"/>
    <x v="0"/>
    <n v="3"/>
    <n v="80"/>
    <n v="1"/>
    <n v="5"/>
    <n v="3"/>
    <n v="5"/>
    <n v="4"/>
    <n v="1"/>
    <n v="2"/>
  </r>
  <r>
    <s v="No"/>
    <s v="Travel_Rarely"/>
    <x v="2"/>
    <s v="Current Employees"/>
    <x v="0"/>
    <x v="3"/>
    <s v="STAFF-1784"/>
    <n v="1784"/>
    <x v="0"/>
    <x v="0"/>
    <x v="1"/>
    <s v="No"/>
    <s v="Y"/>
    <n v="3"/>
    <n v="-2"/>
    <n v="0"/>
    <n v="31"/>
    <n v="0"/>
    <m/>
    <n v="0"/>
    <n v="1"/>
    <n v="196"/>
    <n v="29"/>
    <x v="2"/>
    <n v="1"/>
    <n v="1"/>
    <n v="91"/>
    <n v="2"/>
    <n v="2"/>
    <n v="2"/>
    <n v="5468"/>
    <n v="13402"/>
    <n v="1"/>
    <n v="14"/>
    <x v="0"/>
    <n v="1"/>
    <n v="80"/>
    <n v="2"/>
    <n v="13"/>
    <n v="3"/>
    <n v="12"/>
    <n v="7"/>
    <n v="5"/>
    <n v="7"/>
  </r>
  <r>
    <s v="No"/>
    <s v="Travel_Rarely"/>
    <x v="0"/>
    <s v="Current Employees"/>
    <x v="0"/>
    <x v="2"/>
    <s v="STAFF-2024"/>
    <n v="2024"/>
    <x v="0"/>
    <x v="0"/>
    <x v="1"/>
    <s v="No"/>
    <s v="Y"/>
    <n v="2"/>
    <n v="-2"/>
    <n v="0"/>
    <n v="36"/>
    <n v="0"/>
    <m/>
    <n v="0"/>
    <n v="1"/>
    <n v="557"/>
    <n v="3"/>
    <x v="3"/>
    <n v="1"/>
    <n v="1"/>
    <n v="94"/>
    <n v="2"/>
    <n v="3"/>
    <n v="4"/>
    <n v="7644"/>
    <n v="12695"/>
    <n v="0"/>
    <n v="19"/>
    <x v="0"/>
    <n v="3"/>
    <n v="80"/>
    <n v="2"/>
    <n v="10"/>
    <n v="3"/>
    <n v="9"/>
    <n v="7"/>
    <n v="3"/>
    <n v="4"/>
  </r>
  <r>
    <s v="No"/>
    <s v="Travel_Rarely"/>
    <x v="2"/>
    <s v="Current Employees"/>
    <x v="0"/>
    <x v="0"/>
    <s v="STAFF-1673"/>
    <n v="1673"/>
    <x v="0"/>
    <x v="0"/>
    <x v="1"/>
    <s v="No"/>
    <s v="Y"/>
    <n v="2"/>
    <n v="-2"/>
    <n v="0"/>
    <n v="31"/>
    <n v="0"/>
    <m/>
    <n v="0"/>
    <n v="1"/>
    <n v="1112"/>
    <n v="5"/>
    <x v="2"/>
    <n v="1"/>
    <n v="1"/>
    <n v="67"/>
    <n v="3"/>
    <n v="2"/>
    <n v="4"/>
    <n v="5476"/>
    <n v="22589"/>
    <n v="1"/>
    <n v="11"/>
    <x v="0"/>
    <n v="1"/>
    <n v="80"/>
    <n v="2"/>
    <n v="10"/>
    <n v="3"/>
    <n v="10"/>
    <n v="0"/>
    <n v="0"/>
    <n v="2"/>
  </r>
  <r>
    <s v="No"/>
    <s v="Travel_Rarely"/>
    <x v="0"/>
    <s v="Current Employees"/>
    <x v="0"/>
    <x v="3"/>
    <s v="STAFF-1436"/>
    <n v="1436"/>
    <x v="0"/>
    <x v="0"/>
    <x v="1"/>
    <s v="No"/>
    <s v="Y"/>
    <n v="3"/>
    <n v="-2"/>
    <n v="0"/>
    <n v="36"/>
    <n v="0"/>
    <m/>
    <n v="0"/>
    <n v="1"/>
    <n v="329"/>
    <n v="16"/>
    <x v="2"/>
    <n v="1"/>
    <n v="3"/>
    <n v="98"/>
    <n v="2"/>
    <n v="2"/>
    <n v="2"/>
    <n v="5647"/>
    <n v="13494"/>
    <n v="4"/>
    <n v="13"/>
    <x v="0"/>
    <n v="1"/>
    <n v="80"/>
    <n v="2"/>
    <n v="11"/>
    <n v="2"/>
    <n v="3"/>
    <n v="2"/>
    <n v="0"/>
    <n v="2"/>
  </r>
  <r>
    <s v="No"/>
    <s v="Travel_Rarely"/>
    <x v="2"/>
    <s v="Current Employees"/>
    <x v="0"/>
    <x v="3"/>
    <s v="STAFF-2016"/>
    <n v="2016"/>
    <x v="0"/>
    <x v="0"/>
    <x v="1"/>
    <s v="No"/>
    <s v="Y"/>
    <n v="3"/>
    <n v="-2"/>
    <n v="0"/>
    <n v="32"/>
    <n v="0"/>
    <m/>
    <n v="0"/>
    <n v="1"/>
    <n v="801"/>
    <n v="1"/>
    <x v="2"/>
    <n v="1"/>
    <n v="3"/>
    <n v="48"/>
    <n v="3"/>
    <n v="3"/>
    <n v="2"/>
    <n v="10422"/>
    <n v="24032"/>
    <n v="1"/>
    <n v="19"/>
    <x v="0"/>
    <n v="3"/>
    <n v="80"/>
    <n v="2"/>
    <n v="14"/>
    <n v="3"/>
    <n v="14"/>
    <n v="10"/>
    <n v="5"/>
    <n v="7"/>
  </r>
  <r>
    <s v="No"/>
    <s v="Travel_Rarely"/>
    <x v="2"/>
    <s v="Current Employees"/>
    <x v="0"/>
    <x v="2"/>
    <s v="STAFF-1898"/>
    <n v="1898"/>
    <x v="0"/>
    <x v="0"/>
    <x v="0"/>
    <s v="No"/>
    <s v="Y"/>
    <n v="5"/>
    <n v="-2"/>
    <n v="0"/>
    <n v="27"/>
    <n v="0"/>
    <m/>
    <n v="0"/>
    <n v="1"/>
    <n v="511"/>
    <n v="2"/>
    <x v="0"/>
    <n v="1"/>
    <n v="1"/>
    <n v="89"/>
    <n v="4"/>
    <n v="2"/>
    <n v="3"/>
    <n v="6500"/>
    <n v="26997"/>
    <n v="0"/>
    <n v="14"/>
    <x v="0"/>
    <n v="2"/>
    <n v="80"/>
    <n v="0"/>
    <n v="9"/>
    <n v="2"/>
    <n v="8"/>
    <n v="7"/>
    <n v="0"/>
    <n v="7"/>
  </r>
  <r>
    <s v="No"/>
    <s v="Travel_Rarely"/>
    <x v="0"/>
    <s v="Current Employees"/>
    <x v="0"/>
    <x v="0"/>
    <s v="STAFF-1583"/>
    <n v="1583"/>
    <x v="0"/>
    <x v="0"/>
    <x v="0"/>
    <s v="No"/>
    <s v="Y"/>
    <n v="5"/>
    <n v="-2"/>
    <n v="0"/>
    <n v="38"/>
    <n v="0"/>
    <m/>
    <n v="0"/>
    <n v="1"/>
    <n v="437"/>
    <n v="16"/>
    <x v="3"/>
    <n v="1"/>
    <n v="2"/>
    <n v="90"/>
    <n v="3"/>
    <n v="2"/>
    <n v="2"/>
    <n v="4198"/>
    <n v="16379"/>
    <n v="2"/>
    <n v="12"/>
    <x v="0"/>
    <n v="2"/>
    <n v="80"/>
    <n v="0"/>
    <n v="8"/>
    <n v="4"/>
    <n v="3"/>
    <n v="2"/>
    <n v="1"/>
    <n v="2"/>
  </r>
  <r>
    <s v="No"/>
    <s v="Travel_Rarely"/>
    <x v="0"/>
    <s v="Current Employees"/>
    <x v="0"/>
    <x v="0"/>
    <s v="STAFF-1585"/>
    <n v="1585"/>
    <x v="0"/>
    <x v="0"/>
    <x v="0"/>
    <s v="No"/>
    <s v="Y"/>
    <n v="5"/>
    <n v="-2"/>
    <n v="0"/>
    <n v="36"/>
    <n v="0"/>
    <m/>
    <n v="0"/>
    <n v="1"/>
    <n v="884"/>
    <n v="1"/>
    <x v="2"/>
    <n v="1"/>
    <n v="2"/>
    <n v="73"/>
    <n v="3"/>
    <n v="2"/>
    <n v="3"/>
    <n v="6815"/>
    <n v="21447"/>
    <n v="6"/>
    <n v="13"/>
    <x v="0"/>
    <n v="1"/>
    <n v="80"/>
    <n v="0"/>
    <n v="15"/>
    <n v="3"/>
    <n v="1"/>
    <n v="0"/>
    <n v="0"/>
    <n v="0"/>
  </r>
  <r>
    <s v="No"/>
    <s v="Travel_Rarely"/>
    <x v="4"/>
    <s v="Current Employees"/>
    <x v="0"/>
    <x v="2"/>
    <s v="STAFF-1657"/>
    <n v="1657"/>
    <x v="0"/>
    <x v="6"/>
    <x v="0"/>
    <s v="No"/>
    <s v="Y"/>
    <n v="3"/>
    <n v="-2"/>
    <n v="0"/>
    <n v="20"/>
    <n v="0"/>
    <m/>
    <n v="0"/>
    <n v="1"/>
    <n v="1141"/>
    <n v="2"/>
    <x v="3"/>
    <n v="1"/>
    <n v="3"/>
    <n v="31"/>
    <n v="3"/>
    <n v="1"/>
    <n v="3"/>
    <n v="2783"/>
    <n v="13251"/>
    <n v="1"/>
    <n v="19"/>
    <x v="0"/>
    <n v="1"/>
    <n v="80"/>
    <n v="0"/>
    <n v="2"/>
    <n v="3"/>
    <n v="2"/>
    <n v="2"/>
    <n v="2"/>
    <n v="2"/>
  </r>
  <r>
    <s v="No"/>
    <s v="Travel_Rarely"/>
    <x v="0"/>
    <s v="Current Employees"/>
    <x v="0"/>
    <x v="0"/>
    <s v="STAFF-1710"/>
    <n v="1710"/>
    <x v="0"/>
    <x v="6"/>
    <x v="0"/>
    <s v="No"/>
    <s v="Y"/>
    <n v="2"/>
    <n v="-2"/>
    <n v="0"/>
    <n v="36"/>
    <n v="0"/>
    <m/>
    <n v="0"/>
    <n v="1"/>
    <n v="530"/>
    <n v="2"/>
    <x v="2"/>
    <n v="1"/>
    <n v="3"/>
    <n v="51"/>
    <n v="3"/>
    <n v="2"/>
    <n v="4"/>
    <n v="4502"/>
    <n v="7439"/>
    <n v="3"/>
    <n v="15"/>
    <x v="0"/>
    <n v="3"/>
    <n v="80"/>
    <n v="0"/>
    <n v="17"/>
    <n v="2"/>
    <n v="13"/>
    <n v="7"/>
    <n v="6"/>
    <n v="7"/>
  </r>
  <r>
    <s v="No"/>
    <s v="Travel_Rarely"/>
    <x v="2"/>
    <s v="Current Employees"/>
    <x v="0"/>
    <x v="0"/>
    <s v="STAFF-1779"/>
    <n v="1779"/>
    <x v="0"/>
    <x v="0"/>
    <x v="0"/>
    <s v="No"/>
    <s v="Y"/>
    <n v="3"/>
    <n v="-2"/>
    <n v="0"/>
    <n v="34"/>
    <n v="0"/>
    <m/>
    <n v="0"/>
    <n v="1"/>
    <n v="511"/>
    <n v="3"/>
    <x v="0"/>
    <n v="1"/>
    <n v="4"/>
    <n v="32"/>
    <n v="1"/>
    <n v="2"/>
    <n v="4"/>
    <n v="6029"/>
    <n v="25353"/>
    <n v="5"/>
    <n v="12"/>
    <x v="0"/>
    <n v="1"/>
    <n v="80"/>
    <n v="0"/>
    <n v="6"/>
    <n v="3"/>
    <n v="2"/>
    <n v="2"/>
    <n v="2"/>
    <n v="2"/>
  </r>
  <r>
    <s v="No"/>
    <s v="Travel_Rarely"/>
    <x v="2"/>
    <s v="Current Employees"/>
    <x v="0"/>
    <x v="1"/>
    <s v="STAFF-2060"/>
    <n v="2060"/>
    <x v="0"/>
    <x v="6"/>
    <x v="0"/>
    <s v="No"/>
    <s v="Y"/>
    <n v="2"/>
    <n v="-2"/>
    <n v="0"/>
    <n v="26"/>
    <n v="0"/>
    <m/>
    <n v="0"/>
    <n v="1"/>
    <n v="1167"/>
    <n v="5"/>
    <x v="3"/>
    <n v="1"/>
    <n v="4"/>
    <n v="30"/>
    <n v="2"/>
    <n v="1"/>
    <n v="3"/>
    <n v="2966"/>
    <n v="21378"/>
    <n v="0"/>
    <n v="18"/>
    <x v="0"/>
    <n v="4"/>
    <n v="80"/>
    <n v="0"/>
    <n v="5"/>
    <n v="3"/>
    <n v="4"/>
    <n v="2"/>
    <n v="0"/>
    <n v="0"/>
  </r>
  <r>
    <s v="No"/>
    <s v="Travel_Rarely"/>
    <x v="1"/>
    <s v="Current Employees"/>
    <x v="0"/>
    <x v="0"/>
    <s v="STAFF-2046"/>
    <n v="2046"/>
    <x v="0"/>
    <x v="0"/>
    <x v="0"/>
    <s v="No"/>
    <s v="Y"/>
    <n v="3"/>
    <n v="-2"/>
    <n v="0"/>
    <n v="45"/>
    <n v="0"/>
    <m/>
    <n v="0"/>
    <n v="1"/>
    <n v="374"/>
    <n v="20"/>
    <x v="3"/>
    <n v="1"/>
    <n v="4"/>
    <n v="50"/>
    <n v="3"/>
    <n v="2"/>
    <n v="3"/>
    <n v="4850"/>
    <n v="23333"/>
    <n v="8"/>
    <n v="15"/>
    <x v="0"/>
    <n v="3"/>
    <n v="80"/>
    <n v="0"/>
    <n v="8"/>
    <n v="3"/>
    <n v="5"/>
    <n v="3"/>
    <n v="0"/>
    <n v="1"/>
  </r>
  <r>
    <s v="No"/>
    <s v="Travel_Rarely"/>
    <x v="1"/>
    <s v="Current Employees"/>
    <x v="0"/>
    <x v="3"/>
    <s v="STAFF-1757"/>
    <n v="1757"/>
    <x v="0"/>
    <x v="0"/>
    <x v="0"/>
    <s v="No"/>
    <s v="Y"/>
    <n v="1"/>
    <n v="-2"/>
    <n v="0"/>
    <n v="49"/>
    <n v="0"/>
    <m/>
    <n v="0"/>
    <n v="1"/>
    <n v="1313"/>
    <n v="11"/>
    <x v="2"/>
    <n v="1"/>
    <n v="4"/>
    <n v="80"/>
    <n v="3"/>
    <n v="2"/>
    <n v="2"/>
    <n v="4507"/>
    <n v="8191"/>
    <n v="3"/>
    <n v="12"/>
    <x v="0"/>
    <n v="3"/>
    <n v="80"/>
    <n v="0"/>
    <n v="8"/>
    <n v="4"/>
    <n v="5"/>
    <n v="1"/>
    <n v="0"/>
    <n v="4"/>
  </r>
  <r>
    <s v="No"/>
    <s v="Non-Travel"/>
    <x v="2"/>
    <s v="Current Employees"/>
    <x v="2"/>
    <x v="0"/>
    <s v="STAFF-1858"/>
    <n v="1858"/>
    <x v="1"/>
    <x v="8"/>
    <x v="2"/>
    <s v="No"/>
    <s v="Y"/>
    <n v="2"/>
    <n v="-2"/>
    <n v="0"/>
    <n v="28"/>
    <n v="0"/>
    <m/>
    <n v="0"/>
    <n v="1"/>
    <n v="280"/>
    <n v="1"/>
    <x v="0"/>
    <n v="1"/>
    <n v="3"/>
    <n v="43"/>
    <n v="3"/>
    <n v="1"/>
    <n v="4"/>
    <n v="2706"/>
    <n v="10494"/>
    <n v="1"/>
    <n v="15"/>
    <x v="0"/>
    <n v="2"/>
    <n v="80"/>
    <n v="1"/>
    <n v="3"/>
    <n v="3"/>
    <n v="3"/>
    <n v="2"/>
    <n v="2"/>
    <n v="2"/>
  </r>
  <r>
    <s v="No"/>
    <s v="Non-Travel"/>
    <x v="0"/>
    <s v="Current Employees"/>
    <x v="2"/>
    <x v="5"/>
    <s v="STAFF-1805"/>
    <n v="1805"/>
    <x v="1"/>
    <x v="8"/>
    <x v="2"/>
    <s v="No"/>
    <s v="Y"/>
    <n v="3"/>
    <n v="-2"/>
    <n v="0"/>
    <n v="38"/>
    <n v="0"/>
    <m/>
    <n v="0"/>
    <n v="1"/>
    <n v="1336"/>
    <n v="2"/>
    <x v="3"/>
    <n v="1"/>
    <n v="1"/>
    <n v="100"/>
    <n v="3"/>
    <n v="1"/>
    <n v="2"/>
    <n v="2592"/>
    <n v="7129"/>
    <n v="5"/>
    <n v="13"/>
    <x v="0"/>
    <n v="4"/>
    <n v="80"/>
    <n v="3"/>
    <n v="13"/>
    <n v="3"/>
    <n v="11"/>
    <n v="10"/>
    <n v="3"/>
    <n v="8"/>
  </r>
  <r>
    <s v="No"/>
    <s v="Non-Travel"/>
    <x v="0"/>
    <s v="Current Employees"/>
    <x v="2"/>
    <x v="5"/>
    <s v="STAFF-1722"/>
    <n v="1722"/>
    <x v="1"/>
    <x v="8"/>
    <x v="1"/>
    <s v="No"/>
    <s v="Y"/>
    <n v="4"/>
    <n v="-2"/>
    <n v="0"/>
    <n v="41"/>
    <n v="0"/>
    <m/>
    <n v="0"/>
    <n v="1"/>
    <n v="552"/>
    <n v="4"/>
    <x v="3"/>
    <n v="1"/>
    <n v="3"/>
    <n v="60"/>
    <n v="1"/>
    <n v="2"/>
    <n v="2"/>
    <n v="6430"/>
    <n v="20794"/>
    <n v="6"/>
    <n v="19"/>
    <x v="0"/>
    <n v="2"/>
    <n v="80"/>
    <n v="1"/>
    <n v="10"/>
    <n v="3"/>
    <n v="3"/>
    <n v="2"/>
    <n v="1"/>
    <n v="2"/>
  </r>
  <r>
    <s v="No"/>
    <s v="Non-Travel"/>
    <x v="0"/>
    <s v="Current Employees"/>
    <x v="1"/>
    <x v="2"/>
    <s v="STAFF-1804"/>
    <n v="1804"/>
    <x v="1"/>
    <x v="3"/>
    <x v="2"/>
    <s v="No"/>
    <s v="Y"/>
    <n v="6"/>
    <n v="-2"/>
    <n v="0"/>
    <n v="35"/>
    <n v="0"/>
    <m/>
    <n v="0"/>
    <n v="1"/>
    <n v="1180"/>
    <n v="2"/>
    <x v="0"/>
    <n v="1"/>
    <n v="2"/>
    <n v="90"/>
    <n v="3"/>
    <n v="2"/>
    <n v="4"/>
    <n v="5762"/>
    <n v="24442"/>
    <n v="2"/>
    <n v="14"/>
    <x v="0"/>
    <n v="3"/>
    <n v="80"/>
    <n v="1"/>
    <n v="15"/>
    <n v="3"/>
    <n v="7"/>
    <n v="7"/>
    <n v="1"/>
    <n v="7"/>
  </r>
  <r>
    <s v="No"/>
    <s v="Non-Travel"/>
    <x v="0"/>
    <s v="Current Employees"/>
    <x v="1"/>
    <x v="2"/>
    <s v="STAFF-1468"/>
    <n v="1468"/>
    <x v="1"/>
    <x v="7"/>
    <x v="2"/>
    <s v="No"/>
    <s v="Y"/>
    <n v="5"/>
    <n v="-2"/>
    <n v="0"/>
    <n v="40"/>
    <n v="0"/>
    <m/>
    <n v="0"/>
    <n v="1"/>
    <n v="218"/>
    <n v="8"/>
    <x v="1"/>
    <n v="1"/>
    <n v="4"/>
    <n v="55"/>
    <n v="2"/>
    <n v="3"/>
    <n v="2"/>
    <n v="13757"/>
    <n v="25178"/>
    <n v="2"/>
    <n v="11"/>
    <x v="0"/>
    <n v="3"/>
    <n v="80"/>
    <n v="1"/>
    <n v="16"/>
    <n v="3"/>
    <n v="9"/>
    <n v="8"/>
    <n v="4"/>
    <n v="8"/>
  </r>
  <r>
    <s v="No"/>
    <s v="Non-Travel"/>
    <x v="2"/>
    <s v="Current Employees"/>
    <x v="1"/>
    <x v="4"/>
    <s v="STAFF-1482"/>
    <n v="1482"/>
    <x v="1"/>
    <x v="1"/>
    <x v="2"/>
    <s v="No"/>
    <s v="Y"/>
    <n v="2"/>
    <n v="-2"/>
    <n v="0"/>
    <n v="30"/>
    <n v="0"/>
    <m/>
    <n v="0"/>
    <n v="1"/>
    <n v="990"/>
    <n v="7"/>
    <x v="3"/>
    <n v="1"/>
    <n v="4"/>
    <n v="64"/>
    <n v="3"/>
    <n v="1"/>
    <n v="4"/>
    <n v="1274"/>
    <n v="7152"/>
    <n v="1"/>
    <n v="13"/>
    <x v="0"/>
    <n v="2"/>
    <n v="80"/>
    <n v="2"/>
    <n v="1"/>
    <n v="2"/>
    <n v="1"/>
    <n v="0"/>
    <n v="0"/>
    <n v="0"/>
  </r>
  <r>
    <s v="No"/>
    <s v="Non-Travel"/>
    <x v="0"/>
    <s v="Current Employees"/>
    <x v="1"/>
    <x v="1"/>
    <s v="STAFF-1449"/>
    <n v="1449"/>
    <x v="1"/>
    <x v="2"/>
    <x v="2"/>
    <s v="No"/>
    <s v="Y"/>
    <n v="2"/>
    <n v="-2"/>
    <n v="0"/>
    <n v="40"/>
    <n v="0"/>
    <m/>
    <n v="0"/>
    <n v="1"/>
    <n v="663"/>
    <n v="9"/>
    <x v="2"/>
    <n v="1"/>
    <n v="3"/>
    <n v="81"/>
    <n v="3"/>
    <n v="2"/>
    <n v="3"/>
    <n v="3975"/>
    <n v="23099"/>
    <n v="3"/>
    <n v="11"/>
    <x v="0"/>
    <n v="3"/>
    <n v="80"/>
    <n v="2"/>
    <n v="11"/>
    <n v="4"/>
    <n v="8"/>
    <n v="7"/>
    <n v="0"/>
    <n v="7"/>
  </r>
  <r>
    <s v="No"/>
    <s v="Non-Travel"/>
    <x v="2"/>
    <s v="Current Employees"/>
    <x v="1"/>
    <x v="4"/>
    <s v="STAFF-1771"/>
    <n v="1771"/>
    <x v="1"/>
    <x v="1"/>
    <x v="2"/>
    <s v="No"/>
    <s v="Y"/>
    <n v="2"/>
    <n v="-2"/>
    <n v="0"/>
    <n v="33"/>
    <n v="0"/>
    <m/>
    <n v="0"/>
    <n v="1"/>
    <n v="775"/>
    <n v="4"/>
    <x v="3"/>
    <n v="1"/>
    <n v="4"/>
    <n v="90"/>
    <n v="3"/>
    <n v="2"/>
    <n v="4"/>
    <n v="3055"/>
    <n v="6194"/>
    <n v="5"/>
    <n v="15"/>
    <x v="0"/>
    <n v="4"/>
    <n v="80"/>
    <n v="2"/>
    <n v="11"/>
    <n v="2"/>
    <n v="9"/>
    <n v="8"/>
    <n v="1"/>
    <n v="7"/>
  </r>
  <r>
    <s v="No"/>
    <s v="Non-Travel"/>
    <x v="2"/>
    <s v="Current Employees"/>
    <x v="1"/>
    <x v="2"/>
    <s v="STAFF-1994"/>
    <n v="1994"/>
    <x v="1"/>
    <x v="2"/>
    <x v="2"/>
    <s v="No"/>
    <s v="Y"/>
    <n v="2"/>
    <n v="-2"/>
    <n v="0"/>
    <n v="33"/>
    <n v="0"/>
    <m/>
    <n v="0"/>
    <n v="1"/>
    <n v="1313"/>
    <n v="1"/>
    <x v="0"/>
    <n v="1"/>
    <n v="2"/>
    <n v="59"/>
    <n v="2"/>
    <n v="1"/>
    <n v="3"/>
    <n v="2008"/>
    <n v="20439"/>
    <n v="1"/>
    <n v="12"/>
    <x v="0"/>
    <n v="3"/>
    <n v="80"/>
    <n v="3"/>
    <n v="1"/>
    <n v="2"/>
    <n v="1"/>
    <n v="1"/>
    <n v="0"/>
    <n v="0"/>
  </r>
  <r>
    <s v="No"/>
    <s v="Non-Travel"/>
    <x v="1"/>
    <s v="Current Employees"/>
    <x v="1"/>
    <x v="4"/>
    <s v="STAFF-1934"/>
    <n v="1934"/>
    <x v="1"/>
    <x v="1"/>
    <x v="1"/>
    <s v="No"/>
    <s v="Y"/>
    <n v="4"/>
    <n v="-2"/>
    <n v="0"/>
    <n v="47"/>
    <n v="0"/>
    <m/>
    <n v="0"/>
    <n v="1"/>
    <n v="1169"/>
    <n v="14"/>
    <x v="2"/>
    <n v="1"/>
    <n v="4"/>
    <n v="64"/>
    <n v="3"/>
    <n v="2"/>
    <n v="4"/>
    <n v="5467"/>
    <n v="2125"/>
    <n v="8"/>
    <n v="18"/>
    <x v="0"/>
    <n v="3"/>
    <n v="80"/>
    <n v="1"/>
    <n v="16"/>
    <n v="4"/>
    <n v="8"/>
    <n v="7"/>
    <n v="1"/>
    <n v="7"/>
  </r>
  <r>
    <s v="No"/>
    <s v="Non-Travel"/>
    <x v="2"/>
    <s v="Current Employees"/>
    <x v="1"/>
    <x v="4"/>
    <s v="STAFF-1574"/>
    <n v="1574"/>
    <x v="1"/>
    <x v="1"/>
    <x v="1"/>
    <s v="No"/>
    <s v="Y"/>
    <n v="3"/>
    <n v="-2"/>
    <n v="0"/>
    <n v="32"/>
    <n v="0"/>
    <m/>
    <n v="0"/>
    <n v="1"/>
    <n v="1200"/>
    <n v="1"/>
    <x v="2"/>
    <n v="1"/>
    <n v="4"/>
    <n v="62"/>
    <n v="3"/>
    <n v="2"/>
    <n v="4"/>
    <n v="4087"/>
    <n v="25174"/>
    <n v="4"/>
    <n v="14"/>
    <x v="0"/>
    <n v="2"/>
    <n v="80"/>
    <n v="1"/>
    <n v="9"/>
    <n v="2"/>
    <n v="6"/>
    <n v="5"/>
    <n v="1"/>
    <n v="2"/>
  </r>
  <r>
    <s v="No"/>
    <s v="Non-Travel"/>
    <x v="0"/>
    <s v="Current Employees"/>
    <x v="1"/>
    <x v="0"/>
    <s v="STAFF-1813"/>
    <n v="1813"/>
    <x v="1"/>
    <x v="1"/>
    <x v="0"/>
    <s v="No"/>
    <s v="Y"/>
    <n v="2"/>
    <n v="-2"/>
    <n v="0"/>
    <n v="43"/>
    <n v="0"/>
    <m/>
    <n v="0"/>
    <n v="1"/>
    <n v="343"/>
    <n v="9"/>
    <x v="3"/>
    <n v="1"/>
    <n v="1"/>
    <n v="52"/>
    <n v="3"/>
    <n v="1"/>
    <n v="3"/>
    <n v="2438"/>
    <n v="24978"/>
    <n v="4"/>
    <n v="13"/>
    <x v="0"/>
    <n v="3"/>
    <n v="80"/>
    <n v="0"/>
    <n v="7"/>
    <n v="2"/>
    <n v="3"/>
    <n v="2"/>
    <n v="1"/>
    <n v="2"/>
  </r>
  <r>
    <s v="No"/>
    <s v="Non-Travel"/>
    <x v="2"/>
    <s v="Current Employees"/>
    <x v="1"/>
    <x v="2"/>
    <s v="STAFF-2057"/>
    <n v="2057"/>
    <x v="1"/>
    <x v="3"/>
    <x v="0"/>
    <s v="No"/>
    <s v="Y"/>
    <n v="2"/>
    <n v="-2"/>
    <n v="0"/>
    <n v="31"/>
    <n v="0"/>
    <m/>
    <n v="0"/>
    <n v="1"/>
    <n v="325"/>
    <n v="5"/>
    <x v="3"/>
    <n v="1"/>
    <n v="2"/>
    <n v="74"/>
    <n v="3"/>
    <n v="2"/>
    <n v="3"/>
    <n v="9936"/>
    <n v="3787"/>
    <n v="0"/>
    <n v="19"/>
    <x v="0"/>
    <n v="2"/>
    <n v="80"/>
    <n v="0"/>
    <n v="10"/>
    <n v="3"/>
    <n v="9"/>
    <n v="4"/>
    <n v="1"/>
    <n v="7"/>
  </r>
  <r>
    <s v="No"/>
    <s v="Non-Travel"/>
    <x v="2"/>
    <s v="Current Employees"/>
    <x v="1"/>
    <x v="4"/>
    <s v="STAFF-1764"/>
    <n v="1764"/>
    <x v="1"/>
    <x v="1"/>
    <x v="0"/>
    <s v="No"/>
    <s v="Y"/>
    <n v="3"/>
    <n v="-2"/>
    <n v="0"/>
    <n v="32"/>
    <n v="0"/>
    <m/>
    <n v="0"/>
    <n v="1"/>
    <n v="953"/>
    <n v="5"/>
    <x v="2"/>
    <n v="1"/>
    <n v="4"/>
    <n v="65"/>
    <n v="3"/>
    <n v="1"/>
    <n v="4"/>
    <n v="2718"/>
    <n v="17674"/>
    <n v="2"/>
    <n v="14"/>
    <x v="0"/>
    <n v="2"/>
    <n v="80"/>
    <n v="0"/>
    <n v="12"/>
    <n v="3"/>
    <n v="7"/>
    <n v="7"/>
    <n v="0"/>
    <n v="7"/>
  </r>
  <r>
    <s v="No"/>
    <s v="Non-Travel"/>
    <x v="0"/>
    <s v="Current Employees"/>
    <x v="1"/>
    <x v="0"/>
    <s v="STAFF-1471"/>
    <n v="1471"/>
    <x v="1"/>
    <x v="2"/>
    <x v="0"/>
    <s v="No"/>
    <s v="Y"/>
    <n v="5"/>
    <n v="-2"/>
    <n v="0"/>
    <n v="44"/>
    <n v="0"/>
    <m/>
    <n v="0"/>
    <n v="1"/>
    <n v="981"/>
    <n v="5"/>
    <x v="3"/>
    <n v="1"/>
    <n v="3"/>
    <n v="90"/>
    <n v="2"/>
    <n v="1"/>
    <n v="3"/>
    <n v="3162"/>
    <n v="7973"/>
    <n v="3"/>
    <n v="14"/>
    <x v="0"/>
    <n v="4"/>
    <n v="80"/>
    <n v="0"/>
    <n v="7"/>
    <n v="3"/>
    <n v="5"/>
    <n v="2"/>
    <n v="0"/>
    <n v="3"/>
  </r>
  <r>
    <s v="No"/>
    <s v="Non-Travel"/>
    <x v="2"/>
    <s v="Current Employees"/>
    <x v="1"/>
    <x v="2"/>
    <s v="STAFF-1947"/>
    <n v="1947"/>
    <x v="1"/>
    <x v="1"/>
    <x v="0"/>
    <s v="No"/>
    <s v="Y"/>
    <n v="3"/>
    <n v="-2"/>
    <n v="0"/>
    <n v="28"/>
    <n v="0"/>
    <m/>
    <n v="0"/>
    <n v="1"/>
    <n v="1103"/>
    <n v="16"/>
    <x v="3"/>
    <n v="1"/>
    <n v="3"/>
    <n v="49"/>
    <n v="3"/>
    <n v="1"/>
    <n v="3"/>
    <n v="2144"/>
    <n v="2122"/>
    <n v="1"/>
    <n v="14"/>
    <x v="0"/>
    <n v="3"/>
    <n v="80"/>
    <n v="0"/>
    <n v="5"/>
    <n v="2"/>
    <n v="5"/>
    <n v="3"/>
    <n v="1"/>
    <n v="4"/>
  </r>
  <r>
    <s v="No"/>
    <s v="Non-Travel"/>
    <x v="0"/>
    <s v="Current Employees"/>
    <x v="1"/>
    <x v="4"/>
    <s v="STAFF-1440"/>
    <n v="1440"/>
    <x v="1"/>
    <x v="2"/>
    <x v="0"/>
    <s v="No"/>
    <s v="Y"/>
    <n v="2"/>
    <n v="-2"/>
    <n v="0"/>
    <n v="37"/>
    <n v="0"/>
    <m/>
    <n v="0"/>
    <n v="1"/>
    <n v="1413"/>
    <n v="5"/>
    <x v="0"/>
    <n v="1"/>
    <n v="4"/>
    <n v="84"/>
    <n v="4"/>
    <n v="1"/>
    <n v="4"/>
    <n v="3500"/>
    <n v="25470"/>
    <n v="0"/>
    <n v="14"/>
    <x v="0"/>
    <n v="1"/>
    <n v="80"/>
    <n v="0"/>
    <n v="7"/>
    <n v="1"/>
    <n v="6"/>
    <n v="5"/>
    <n v="1"/>
    <n v="3"/>
  </r>
  <r>
    <s v="No"/>
    <s v="Non-Travel"/>
    <x v="0"/>
    <s v="Current Employees"/>
    <x v="1"/>
    <x v="0"/>
    <s v="STAFF-1976"/>
    <n v="1976"/>
    <x v="1"/>
    <x v="1"/>
    <x v="0"/>
    <s v="No"/>
    <s v="Y"/>
    <n v="2"/>
    <n v="-2"/>
    <n v="0"/>
    <n v="42"/>
    <n v="0"/>
    <m/>
    <n v="0"/>
    <n v="1"/>
    <n v="335"/>
    <n v="23"/>
    <x v="0"/>
    <n v="1"/>
    <n v="4"/>
    <n v="37"/>
    <n v="2"/>
    <n v="2"/>
    <n v="3"/>
    <n v="4332"/>
    <n v="14811"/>
    <n v="1"/>
    <n v="12"/>
    <x v="0"/>
    <n v="4"/>
    <n v="80"/>
    <n v="0"/>
    <n v="20"/>
    <n v="3"/>
    <n v="20"/>
    <n v="9"/>
    <n v="3"/>
    <n v="7"/>
  </r>
  <r>
    <s v="No"/>
    <s v="Non-Travel"/>
    <x v="0"/>
    <s v="Current Employees"/>
    <x v="1"/>
    <x v="0"/>
    <s v="STAFF-2022"/>
    <n v="2022"/>
    <x v="1"/>
    <x v="5"/>
    <x v="0"/>
    <s v="No"/>
    <s v="Y"/>
    <n v="3"/>
    <n v="-2"/>
    <n v="0"/>
    <n v="39"/>
    <n v="0"/>
    <m/>
    <n v="0"/>
    <n v="1"/>
    <n v="105"/>
    <n v="9"/>
    <x v="3"/>
    <n v="1"/>
    <n v="4"/>
    <n v="87"/>
    <n v="3"/>
    <n v="5"/>
    <n v="4"/>
    <n v="19431"/>
    <n v="15302"/>
    <n v="2"/>
    <n v="13"/>
    <x v="0"/>
    <n v="3"/>
    <n v="80"/>
    <n v="0"/>
    <n v="21"/>
    <n v="2"/>
    <n v="6"/>
    <n v="0"/>
    <n v="1"/>
    <n v="3"/>
  </r>
  <r>
    <s v="No"/>
    <s v="Non-Travel"/>
    <x v="1"/>
    <s v="Current Employees"/>
    <x v="0"/>
    <x v="0"/>
    <s v="STAFF-2019"/>
    <n v="2019"/>
    <x v="1"/>
    <x v="6"/>
    <x v="2"/>
    <s v="No"/>
    <s v="Y"/>
    <n v="3"/>
    <n v="-2"/>
    <n v="0"/>
    <n v="52"/>
    <n v="0"/>
    <m/>
    <n v="0"/>
    <n v="1"/>
    <n v="585"/>
    <n v="29"/>
    <x v="2"/>
    <n v="1"/>
    <n v="1"/>
    <n v="40"/>
    <n v="3"/>
    <n v="1"/>
    <n v="4"/>
    <n v="3482"/>
    <n v="19788"/>
    <n v="2"/>
    <n v="15"/>
    <x v="0"/>
    <n v="2"/>
    <n v="80"/>
    <n v="2"/>
    <n v="16"/>
    <n v="2"/>
    <n v="9"/>
    <n v="8"/>
    <n v="0"/>
    <n v="0"/>
  </r>
  <r>
    <s v="No"/>
    <s v="Non-Travel"/>
    <x v="1"/>
    <s v="Current Employees"/>
    <x v="0"/>
    <x v="3"/>
    <s v="STAFF-1612"/>
    <n v="1612"/>
    <x v="1"/>
    <x v="0"/>
    <x v="1"/>
    <s v="No"/>
    <s v="Y"/>
    <n v="2"/>
    <n v="-2"/>
    <n v="0"/>
    <n v="45"/>
    <n v="0"/>
    <m/>
    <n v="0"/>
    <n v="1"/>
    <n v="336"/>
    <n v="26"/>
    <x v="3"/>
    <n v="1"/>
    <n v="1"/>
    <n v="52"/>
    <n v="2"/>
    <n v="2"/>
    <n v="2"/>
    <n v="4385"/>
    <n v="24162"/>
    <n v="1"/>
    <n v="15"/>
    <x v="0"/>
    <n v="1"/>
    <n v="80"/>
    <n v="1"/>
    <n v="10"/>
    <n v="3"/>
    <n v="10"/>
    <n v="7"/>
    <n v="4"/>
    <n v="5"/>
  </r>
  <r>
    <s v="No"/>
    <s v="Non-Travel"/>
    <x v="1"/>
    <s v="Current Employees"/>
    <x v="0"/>
    <x v="3"/>
    <s v="STAFF-1731"/>
    <n v="1731"/>
    <x v="1"/>
    <x v="0"/>
    <x v="1"/>
    <s v="No"/>
    <s v="Y"/>
    <n v="3"/>
    <n v="-2"/>
    <n v="0"/>
    <n v="47"/>
    <n v="0"/>
    <m/>
    <n v="0"/>
    <n v="1"/>
    <n v="543"/>
    <n v="2"/>
    <x v="2"/>
    <n v="1"/>
    <n v="3"/>
    <n v="87"/>
    <n v="3"/>
    <n v="2"/>
    <n v="2"/>
    <n v="4978"/>
    <n v="3536"/>
    <n v="7"/>
    <n v="11"/>
    <x v="0"/>
    <n v="4"/>
    <n v="80"/>
    <n v="1"/>
    <n v="4"/>
    <n v="1"/>
    <n v="1"/>
    <n v="0"/>
    <n v="0"/>
    <n v="0"/>
  </r>
  <r>
    <s v="No"/>
    <s v="Non-Travel"/>
    <x v="1"/>
    <s v="Current Employees"/>
    <x v="0"/>
    <x v="0"/>
    <s v="STAFF-1801"/>
    <n v="1801"/>
    <x v="1"/>
    <x v="0"/>
    <x v="0"/>
    <s v="No"/>
    <s v="Y"/>
    <n v="3"/>
    <n v="-2"/>
    <n v="0"/>
    <n v="46"/>
    <n v="0"/>
    <m/>
    <n v="0"/>
    <n v="1"/>
    <n v="849"/>
    <n v="26"/>
    <x v="0"/>
    <n v="1"/>
    <n v="2"/>
    <n v="98"/>
    <n v="2"/>
    <n v="2"/>
    <n v="2"/>
    <n v="7991"/>
    <n v="25166"/>
    <n v="8"/>
    <n v="15"/>
    <x v="0"/>
    <n v="3"/>
    <n v="80"/>
    <n v="0"/>
    <n v="6"/>
    <n v="3"/>
    <n v="2"/>
    <n v="2"/>
    <n v="2"/>
    <n v="2"/>
  </r>
  <r>
    <s v="No"/>
    <s v="Travel_Frequently"/>
    <x v="0"/>
    <s v="Current Employees"/>
    <x v="2"/>
    <x v="5"/>
    <s v="STAFF-1563"/>
    <n v="1563"/>
    <x v="1"/>
    <x v="8"/>
    <x v="1"/>
    <s v="No"/>
    <s v="Y"/>
    <n v="2"/>
    <n v="-2"/>
    <n v="0"/>
    <n v="38"/>
    <n v="0"/>
    <m/>
    <n v="0"/>
    <n v="1"/>
    <n v="888"/>
    <n v="10"/>
    <x v="2"/>
    <n v="1"/>
    <n v="3"/>
    <n v="71"/>
    <n v="3"/>
    <n v="2"/>
    <n v="3"/>
    <n v="6077"/>
    <n v="14814"/>
    <n v="3"/>
    <n v="11"/>
    <x v="0"/>
    <n v="3"/>
    <n v="80"/>
    <n v="0"/>
    <n v="10"/>
    <n v="3"/>
    <n v="6"/>
    <n v="3"/>
    <n v="1"/>
    <n v="2"/>
  </r>
  <r>
    <s v="No"/>
    <s v="Travel_Frequently"/>
    <x v="4"/>
    <s v="Current Employees"/>
    <x v="2"/>
    <x v="2"/>
    <s v="STAFF-1746"/>
    <n v="1746"/>
    <x v="1"/>
    <x v="8"/>
    <x v="1"/>
    <s v="No"/>
    <s v="Y"/>
    <n v="2"/>
    <n v="-2"/>
    <n v="0"/>
    <n v="24"/>
    <n v="0"/>
    <m/>
    <n v="0"/>
    <n v="1"/>
    <n v="897"/>
    <n v="10"/>
    <x v="3"/>
    <n v="1"/>
    <n v="1"/>
    <n v="59"/>
    <n v="3"/>
    <n v="1"/>
    <n v="4"/>
    <n v="2145"/>
    <n v="2097"/>
    <n v="0"/>
    <n v="14"/>
    <x v="0"/>
    <n v="4"/>
    <n v="80"/>
    <n v="1"/>
    <n v="3"/>
    <n v="3"/>
    <n v="2"/>
    <n v="2"/>
    <n v="2"/>
    <n v="1"/>
  </r>
  <r>
    <s v="No"/>
    <s v="Travel_Frequently"/>
    <x v="2"/>
    <s v="Current Employees"/>
    <x v="1"/>
    <x v="0"/>
    <s v="STAFF-1590"/>
    <n v="1590"/>
    <x v="1"/>
    <x v="4"/>
    <x v="2"/>
    <s v="No"/>
    <s v="Y"/>
    <n v="0"/>
    <n v="-2"/>
    <n v="0"/>
    <n v="29"/>
    <n v="0"/>
    <m/>
    <n v="0"/>
    <n v="1"/>
    <n v="995"/>
    <n v="2"/>
    <x v="1"/>
    <n v="1"/>
    <n v="1"/>
    <n v="87"/>
    <n v="3"/>
    <n v="2"/>
    <n v="4"/>
    <n v="8853"/>
    <n v="24483"/>
    <n v="1"/>
    <n v="19"/>
    <x v="0"/>
    <n v="4"/>
    <n v="80"/>
    <n v="1"/>
    <n v="6"/>
    <n v="4"/>
    <n v="6"/>
    <n v="4"/>
    <n v="1"/>
    <n v="3"/>
  </r>
  <r>
    <s v="No"/>
    <s v="Travel_Frequently"/>
    <x v="2"/>
    <s v="Current Employees"/>
    <x v="1"/>
    <x v="0"/>
    <s v="STAFF-1615"/>
    <n v="1615"/>
    <x v="1"/>
    <x v="3"/>
    <x v="2"/>
    <s v="No"/>
    <s v="Y"/>
    <n v="3"/>
    <n v="-2"/>
    <n v="0"/>
    <n v="34"/>
    <n v="0"/>
    <m/>
    <n v="0"/>
    <n v="1"/>
    <n v="426"/>
    <n v="10"/>
    <x v="2"/>
    <n v="1"/>
    <n v="3"/>
    <n v="42"/>
    <n v="4"/>
    <n v="2"/>
    <n v="4"/>
    <n v="4724"/>
    <n v="17000"/>
    <n v="1"/>
    <n v="13"/>
    <x v="0"/>
    <n v="1"/>
    <n v="80"/>
    <n v="1"/>
    <n v="9"/>
    <n v="3"/>
    <n v="9"/>
    <n v="7"/>
    <n v="7"/>
    <n v="2"/>
  </r>
  <r>
    <s v="No"/>
    <s v="Travel_Frequently"/>
    <x v="2"/>
    <s v="Current Employees"/>
    <x v="1"/>
    <x v="2"/>
    <s v="STAFF-1485"/>
    <n v="1485"/>
    <x v="1"/>
    <x v="7"/>
    <x v="2"/>
    <s v="No"/>
    <s v="Y"/>
    <n v="3"/>
    <n v="-2"/>
    <n v="0"/>
    <n v="34"/>
    <n v="0"/>
    <m/>
    <n v="0"/>
    <n v="1"/>
    <n v="829"/>
    <n v="15"/>
    <x v="3"/>
    <n v="1"/>
    <n v="2"/>
    <n v="71"/>
    <n v="3"/>
    <n v="4"/>
    <n v="3"/>
    <n v="17007"/>
    <n v="11929"/>
    <n v="7"/>
    <n v="14"/>
    <x v="0"/>
    <n v="4"/>
    <n v="80"/>
    <n v="2"/>
    <n v="16"/>
    <n v="2"/>
    <n v="14"/>
    <n v="8"/>
    <n v="6"/>
    <n v="9"/>
  </r>
  <r>
    <s v="No"/>
    <s v="Travel_Frequently"/>
    <x v="2"/>
    <s v="Current Employees"/>
    <x v="1"/>
    <x v="1"/>
    <s v="STAFF-1431"/>
    <n v="1431"/>
    <x v="1"/>
    <x v="1"/>
    <x v="2"/>
    <s v="No"/>
    <s v="Y"/>
    <n v="2"/>
    <n v="-2"/>
    <n v="0"/>
    <n v="34"/>
    <n v="0"/>
    <m/>
    <n v="0"/>
    <n v="1"/>
    <n v="560"/>
    <n v="1"/>
    <x v="2"/>
    <n v="1"/>
    <n v="4"/>
    <n v="91"/>
    <n v="3"/>
    <n v="1"/>
    <n v="3"/>
    <n v="2996"/>
    <n v="20284"/>
    <n v="5"/>
    <n v="14"/>
    <x v="0"/>
    <n v="3"/>
    <n v="80"/>
    <n v="2"/>
    <n v="10"/>
    <n v="3"/>
    <n v="4"/>
    <n v="3"/>
    <n v="1"/>
    <n v="3"/>
  </r>
  <r>
    <s v="No"/>
    <s v="Travel_Frequently"/>
    <x v="2"/>
    <s v="Current Employees"/>
    <x v="1"/>
    <x v="0"/>
    <s v="STAFF-1653"/>
    <n v="1653"/>
    <x v="1"/>
    <x v="3"/>
    <x v="2"/>
    <s v="No"/>
    <s v="Y"/>
    <n v="6"/>
    <n v="-2"/>
    <n v="0"/>
    <n v="25"/>
    <n v="0"/>
    <m/>
    <n v="0"/>
    <n v="1"/>
    <n v="772"/>
    <n v="2"/>
    <x v="1"/>
    <n v="1"/>
    <n v="4"/>
    <n v="77"/>
    <n v="4"/>
    <n v="2"/>
    <n v="3"/>
    <n v="5206"/>
    <n v="4973"/>
    <n v="1"/>
    <n v="17"/>
    <x v="0"/>
    <n v="3"/>
    <n v="80"/>
    <n v="2"/>
    <n v="7"/>
    <n v="3"/>
    <n v="7"/>
    <n v="7"/>
    <n v="0"/>
    <n v="7"/>
  </r>
  <r>
    <s v="No"/>
    <s v="Travel_Frequently"/>
    <x v="1"/>
    <s v="Current Employees"/>
    <x v="1"/>
    <x v="0"/>
    <s v="STAFF-1941"/>
    <n v="1941"/>
    <x v="1"/>
    <x v="7"/>
    <x v="1"/>
    <s v="No"/>
    <s v="Y"/>
    <n v="3"/>
    <n v="-2"/>
    <n v="0"/>
    <n v="49"/>
    <n v="0"/>
    <m/>
    <n v="0"/>
    <n v="1"/>
    <n v="1064"/>
    <n v="2"/>
    <x v="1"/>
    <n v="1"/>
    <n v="2"/>
    <n v="42"/>
    <n v="3"/>
    <n v="5"/>
    <n v="4"/>
    <n v="19161"/>
    <n v="13738"/>
    <n v="3"/>
    <n v="15"/>
    <x v="0"/>
    <n v="4"/>
    <n v="80"/>
    <n v="0"/>
    <n v="28"/>
    <n v="3"/>
    <n v="5"/>
    <n v="4"/>
    <n v="4"/>
    <n v="3"/>
  </r>
  <r>
    <s v="No"/>
    <s v="Travel_Frequently"/>
    <x v="2"/>
    <s v="Current Employees"/>
    <x v="1"/>
    <x v="2"/>
    <s v="STAFF-1852"/>
    <n v="1852"/>
    <x v="1"/>
    <x v="2"/>
    <x v="1"/>
    <s v="No"/>
    <s v="Y"/>
    <n v="3"/>
    <n v="-2"/>
    <n v="0"/>
    <n v="29"/>
    <n v="0"/>
    <m/>
    <n v="0"/>
    <n v="1"/>
    <n v="574"/>
    <n v="20"/>
    <x v="1"/>
    <n v="1"/>
    <n v="4"/>
    <n v="40"/>
    <n v="3"/>
    <n v="1"/>
    <n v="4"/>
    <n v="3812"/>
    <n v="7003"/>
    <n v="1"/>
    <n v="13"/>
    <x v="0"/>
    <n v="2"/>
    <n v="80"/>
    <n v="0"/>
    <n v="11"/>
    <n v="4"/>
    <n v="11"/>
    <n v="8"/>
    <n v="3"/>
    <n v="10"/>
  </r>
  <r>
    <s v="No"/>
    <s v="Travel_Frequently"/>
    <x v="0"/>
    <s v="Current Employees"/>
    <x v="1"/>
    <x v="0"/>
    <s v="STAFF-1997"/>
    <n v="1997"/>
    <x v="1"/>
    <x v="3"/>
    <x v="1"/>
    <s v="No"/>
    <s v="Y"/>
    <n v="1"/>
    <n v="-2"/>
    <n v="0"/>
    <n v="38"/>
    <n v="0"/>
    <m/>
    <n v="0"/>
    <n v="1"/>
    <n v="508"/>
    <n v="6"/>
    <x v="2"/>
    <n v="1"/>
    <n v="1"/>
    <n v="72"/>
    <n v="2"/>
    <n v="2"/>
    <n v="3"/>
    <n v="5321"/>
    <n v="14284"/>
    <n v="2"/>
    <n v="11"/>
    <x v="0"/>
    <n v="4"/>
    <n v="80"/>
    <n v="1"/>
    <n v="10"/>
    <n v="3"/>
    <n v="8"/>
    <n v="3"/>
    <n v="7"/>
    <n v="7"/>
  </r>
  <r>
    <s v="No"/>
    <s v="Travel_Frequently"/>
    <x v="2"/>
    <s v="Current Employees"/>
    <x v="1"/>
    <x v="0"/>
    <s v="STAFF-1720"/>
    <n v="1720"/>
    <x v="1"/>
    <x v="1"/>
    <x v="1"/>
    <s v="No"/>
    <s v="Y"/>
    <n v="3"/>
    <n v="-2"/>
    <n v="0"/>
    <n v="32"/>
    <n v="0"/>
    <m/>
    <n v="0"/>
    <n v="1"/>
    <n v="585"/>
    <n v="10"/>
    <x v="3"/>
    <n v="1"/>
    <n v="1"/>
    <n v="56"/>
    <n v="3"/>
    <n v="1"/>
    <n v="3"/>
    <n v="3433"/>
    <n v="17360"/>
    <n v="6"/>
    <n v="13"/>
    <x v="0"/>
    <n v="1"/>
    <n v="80"/>
    <n v="1"/>
    <n v="10"/>
    <n v="2"/>
    <n v="5"/>
    <n v="2"/>
    <n v="1"/>
    <n v="3"/>
  </r>
  <r>
    <s v="No"/>
    <s v="Travel_Frequently"/>
    <x v="2"/>
    <s v="Current Employees"/>
    <x v="1"/>
    <x v="1"/>
    <s v="STAFF-1918"/>
    <n v="1918"/>
    <x v="1"/>
    <x v="2"/>
    <x v="1"/>
    <s v="No"/>
    <s v="Y"/>
    <n v="3"/>
    <n v="-2"/>
    <n v="0"/>
    <n v="26"/>
    <n v="0"/>
    <m/>
    <n v="0"/>
    <n v="1"/>
    <n v="1096"/>
    <n v="6"/>
    <x v="3"/>
    <n v="1"/>
    <n v="3"/>
    <n v="61"/>
    <n v="4"/>
    <n v="1"/>
    <n v="4"/>
    <n v="2544"/>
    <n v="7102"/>
    <n v="0"/>
    <n v="18"/>
    <x v="0"/>
    <n v="1"/>
    <n v="80"/>
    <n v="1"/>
    <n v="8"/>
    <n v="3"/>
    <n v="7"/>
    <n v="7"/>
    <n v="7"/>
    <n v="7"/>
  </r>
  <r>
    <s v="No"/>
    <s v="Travel_Frequently"/>
    <x v="0"/>
    <s v="Current Employees"/>
    <x v="1"/>
    <x v="2"/>
    <s v="STAFF-2061"/>
    <n v="2061"/>
    <x v="1"/>
    <x v="2"/>
    <x v="1"/>
    <s v="No"/>
    <s v="Y"/>
    <n v="3"/>
    <n v="-2"/>
    <n v="0"/>
    <n v="36"/>
    <n v="0"/>
    <m/>
    <n v="0"/>
    <n v="1"/>
    <n v="884"/>
    <n v="23"/>
    <x v="0"/>
    <n v="1"/>
    <n v="3"/>
    <n v="41"/>
    <n v="4"/>
    <n v="2"/>
    <n v="4"/>
    <n v="2571"/>
    <n v="12290"/>
    <n v="4"/>
    <n v="17"/>
    <x v="0"/>
    <n v="3"/>
    <n v="80"/>
    <n v="1"/>
    <n v="17"/>
    <n v="3"/>
    <n v="5"/>
    <n v="2"/>
    <n v="0"/>
    <n v="3"/>
  </r>
  <r>
    <s v="No"/>
    <s v="Travel_Frequently"/>
    <x v="2"/>
    <s v="Current Employees"/>
    <x v="1"/>
    <x v="4"/>
    <s v="STAFF-1597"/>
    <n v="1597"/>
    <x v="1"/>
    <x v="4"/>
    <x v="1"/>
    <s v="No"/>
    <s v="Y"/>
    <n v="3"/>
    <n v="-2"/>
    <n v="0"/>
    <n v="34"/>
    <n v="0"/>
    <m/>
    <n v="0"/>
    <n v="1"/>
    <n v="653"/>
    <n v="10"/>
    <x v="2"/>
    <n v="1"/>
    <n v="4"/>
    <n v="92"/>
    <n v="2"/>
    <n v="2"/>
    <n v="4"/>
    <n v="5063"/>
    <n v="15332"/>
    <n v="1"/>
    <n v="14"/>
    <x v="0"/>
    <n v="2"/>
    <n v="80"/>
    <n v="1"/>
    <n v="8"/>
    <n v="2"/>
    <n v="8"/>
    <n v="2"/>
    <n v="7"/>
    <n v="7"/>
  </r>
  <r>
    <s v="No"/>
    <s v="Travel_Frequently"/>
    <x v="0"/>
    <s v="Current Employees"/>
    <x v="1"/>
    <x v="0"/>
    <s v="STAFF-1668"/>
    <n v="1668"/>
    <x v="1"/>
    <x v="1"/>
    <x v="1"/>
    <s v="No"/>
    <s v="Y"/>
    <n v="4"/>
    <n v="-2"/>
    <n v="0"/>
    <n v="38"/>
    <n v="0"/>
    <m/>
    <n v="0"/>
    <n v="1"/>
    <n v="1189"/>
    <n v="1"/>
    <x v="3"/>
    <n v="1"/>
    <n v="4"/>
    <n v="90"/>
    <n v="3"/>
    <n v="2"/>
    <n v="4"/>
    <n v="4735"/>
    <n v="9867"/>
    <n v="7"/>
    <n v="15"/>
    <x v="0"/>
    <n v="4"/>
    <n v="80"/>
    <n v="2"/>
    <n v="19"/>
    <n v="4"/>
    <n v="13"/>
    <n v="11"/>
    <n v="2"/>
    <n v="9"/>
  </r>
  <r>
    <s v="No"/>
    <s v="Travel_Frequently"/>
    <x v="1"/>
    <s v="Current Employees"/>
    <x v="1"/>
    <x v="2"/>
    <s v="STAFF-1922"/>
    <n v="1922"/>
    <x v="1"/>
    <x v="4"/>
    <x v="0"/>
    <s v="No"/>
    <s v="Y"/>
    <n v="3"/>
    <n v="-2"/>
    <n v="0"/>
    <n v="45"/>
    <n v="0"/>
    <m/>
    <n v="0"/>
    <n v="1"/>
    <n v="1297"/>
    <n v="1"/>
    <x v="2"/>
    <n v="1"/>
    <n v="2"/>
    <n v="44"/>
    <n v="3"/>
    <n v="2"/>
    <n v="3"/>
    <n v="5399"/>
    <n v="14511"/>
    <n v="4"/>
    <n v="12"/>
    <x v="0"/>
    <n v="3"/>
    <n v="80"/>
    <n v="0"/>
    <n v="12"/>
    <n v="3"/>
    <n v="4"/>
    <n v="2"/>
    <n v="0"/>
    <n v="3"/>
  </r>
  <r>
    <s v="No"/>
    <s v="Travel_Frequently"/>
    <x v="0"/>
    <s v="Current Employees"/>
    <x v="1"/>
    <x v="0"/>
    <s v="STAFF-1412"/>
    <n v="1412"/>
    <x v="1"/>
    <x v="3"/>
    <x v="0"/>
    <s v="No"/>
    <s v="Y"/>
    <n v="2"/>
    <n v="-2"/>
    <n v="0"/>
    <n v="35"/>
    <n v="0"/>
    <m/>
    <n v="0"/>
    <n v="1"/>
    <n v="200"/>
    <n v="18"/>
    <x v="0"/>
    <n v="1"/>
    <n v="3"/>
    <n v="60"/>
    <n v="3"/>
    <n v="3"/>
    <n v="4"/>
    <n v="9362"/>
    <n v="19944"/>
    <n v="2"/>
    <n v="11"/>
    <x v="0"/>
    <n v="3"/>
    <n v="80"/>
    <n v="0"/>
    <n v="10"/>
    <n v="3"/>
    <n v="2"/>
    <n v="2"/>
    <n v="2"/>
    <n v="2"/>
  </r>
  <r>
    <s v="No"/>
    <s v="Travel_Frequently"/>
    <x v="2"/>
    <s v="Current Employees"/>
    <x v="1"/>
    <x v="2"/>
    <s v="STAFF-1648"/>
    <n v="1648"/>
    <x v="1"/>
    <x v="1"/>
    <x v="0"/>
    <s v="No"/>
    <s v="Y"/>
    <n v="0"/>
    <n v="-2"/>
    <n v="0"/>
    <n v="27"/>
    <n v="0"/>
    <m/>
    <n v="0"/>
    <n v="1"/>
    <n v="591"/>
    <n v="2"/>
    <x v="3"/>
    <n v="1"/>
    <n v="4"/>
    <n v="87"/>
    <n v="3"/>
    <n v="1"/>
    <n v="4"/>
    <n v="2580"/>
    <n v="6297"/>
    <n v="2"/>
    <n v="13"/>
    <x v="0"/>
    <n v="3"/>
    <n v="80"/>
    <n v="0"/>
    <n v="6"/>
    <n v="2"/>
    <n v="4"/>
    <n v="2"/>
    <n v="1"/>
    <n v="2"/>
  </r>
  <r>
    <s v="No"/>
    <s v="Travel_Frequently"/>
    <x v="0"/>
    <s v="Current Employees"/>
    <x v="0"/>
    <x v="0"/>
    <s v="STAFF-1812"/>
    <n v="1812"/>
    <x v="1"/>
    <x v="0"/>
    <x v="2"/>
    <s v="No"/>
    <s v="Y"/>
    <n v="6"/>
    <n v="-2"/>
    <n v="0"/>
    <n v="39"/>
    <n v="0"/>
    <m/>
    <n v="0"/>
    <n v="1"/>
    <n v="766"/>
    <n v="20"/>
    <x v="3"/>
    <n v="1"/>
    <n v="3"/>
    <n v="83"/>
    <n v="3"/>
    <n v="2"/>
    <n v="4"/>
    <n v="4127"/>
    <n v="19188"/>
    <n v="2"/>
    <n v="18"/>
    <x v="0"/>
    <n v="4"/>
    <n v="80"/>
    <n v="1"/>
    <n v="7"/>
    <n v="3"/>
    <n v="2"/>
    <n v="1"/>
    <n v="2"/>
    <n v="2"/>
  </r>
  <r>
    <s v="No"/>
    <s v="Travel_Frequently"/>
    <x v="0"/>
    <s v="Current Employees"/>
    <x v="0"/>
    <x v="2"/>
    <s v="STAFF-1700"/>
    <n v="1700"/>
    <x v="1"/>
    <x v="0"/>
    <x v="2"/>
    <s v="No"/>
    <s v="Y"/>
    <n v="2"/>
    <n v="-2"/>
    <n v="0"/>
    <n v="37"/>
    <n v="0"/>
    <m/>
    <n v="0"/>
    <n v="1"/>
    <n v="1278"/>
    <n v="1"/>
    <x v="2"/>
    <n v="1"/>
    <n v="3"/>
    <n v="31"/>
    <n v="1"/>
    <n v="2"/>
    <n v="4"/>
    <n v="9525"/>
    <n v="7677"/>
    <n v="1"/>
    <n v="14"/>
    <x v="0"/>
    <n v="3"/>
    <n v="80"/>
    <n v="2"/>
    <n v="6"/>
    <n v="2"/>
    <n v="6"/>
    <n v="3"/>
    <n v="1"/>
    <n v="3"/>
  </r>
  <r>
    <s v="No"/>
    <s v="Travel_Frequently"/>
    <x v="1"/>
    <s v="Current Employees"/>
    <x v="0"/>
    <x v="2"/>
    <s v="STAFF-2065"/>
    <n v="2065"/>
    <x v="1"/>
    <x v="0"/>
    <x v="1"/>
    <s v="No"/>
    <s v="Y"/>
    <n v="3"/>
    <n v="-2"/>
    <n v="0"/>
    <n v="49"/>
    <n v="0"/>
    <m/>
    <n v="0"/>
    <n v="1"/>
    <n v="1023"/>
    <n v="2"/>
    <x v="3"/>
    <n v="1"/>
    <n v="4"/>
    <n v="63"/>
    <n v="2"/>
    <n v="2"/>
    <n v="2"/>
    <n v="5390"/>
    <n v="13243"/>
    <n v="2"/>
    <n v="14"/>
    <x v="0"/>
    <n v="4"/>
    <n v="80"/>
    <n v="0"/>
    <n v="17"/>
    <n v="2"/>
    <n v="9"/>
    <n v="6"/>
    <n v="0"/>
    <n v="8"/>
  </r>
  <r>
    <s v="No"/>
    <s v="Travel_Frequently"/>
    <x v="2"/>
    <s v="Current Employees"/>
    <x v="0"/>
    <x v="2"/>
    <s v="STAFF-1477"/>
    <n v="1477"/>
    <x v="1"/>
    <x v="0"/>
    <x v="1"/>
    <s v="No"/>
    <s v="Y"/>
    <n v="2"/>
    <n v="-2"/>
    <n v="0"/>
    <n v="33"/>
    <n v="0"/>
    <m/>
    <n v="0"/>
    <n v="1"/>
    <n v="430"/>
    <n v="7"/>
    <x v="3"/>
    <n v="1"/>
    <n v="4"/>
    <n v="54"/>
    <n v="3"/>
    <n v="2"/>
    <n v="3"/>
    <n v="4373"/>
    <n v="17456"/>
    <n v="0"/>
    <n v="14"/>
    <x v="0"/>
    <n v="1"/>
    <n v="80"/>
    <n v="2"/>
    <n v="5"/>
    <n v="3"/>
    <n v="4"/>
    <n v="3"/>
    <n v="0"/>
    <n v="3"/>
  </r>
  <r>
    <s v="No"/>
    <s v="Travel_Frequently"/>
    <x v="2"/>
    <s v="Current Employees"/>
    <x v="0"/>
    <x v="0"/>
    <s v="STAFF-1507"/>
    <n v="1507"/>
    <x v="1"/>
    <x v="0"/>
    <x v="0"/>
    <s v="No"/>
    <s v="Y"/>
    <n v="5"/>
    <n v="-2"/>
    <n v="0"/>
    <n v="28"/>
    <n v="0"/>
    <m/>
    <n v="0"/>
    <n v="1"/>
    <n v="467"/>
    <n v="7"/>
    <x v="3"/>
    <n v="1"/>
    <n v="3"/>
    <n v="55"/>
    <n v="3"/>
    <n v="2"/>
    <n v="3"/>
    <n v="4898"/>
    <n v="11827"/>
    <n v="0"/>
    <n v="14"/>
    <x v="0"/>
    <n v="4"/>
    <n v="80"/>
    <n v="0"/>
    <n v="5"/>
    <n v="3"/>
    <n v="4"/>
    <n v="2"/>
    <n v="1"/>
    <n v="3"/>
  </r>
  <r>
    <s v="No"/>
    <s v="Travel_Frequently"/>
    <x v="2"/>
    <s v="Current Employees"/>
    <x v="0"/>
    <x v="1"/>
    <s v="STAFF-1613"/>
    <n v="1613"/>
    <x v="1"/>
    <x v="0"/>
    <x v="0"/>
    <s v="No"/>
    <s v="Y"/>
    <n v="3"/>
    <n v="-2"/>
    <n v="0"/>
    <n v="31"/>
    <n v="0"/>
    <m/>
    <n v="0"/>
    <n v="1"/>
    <n v="715"/>
    <n v="2"/>
    <x v="2"/>
    <n v="1"/>
    <n v="4"/>
    <n v="54"/>
    <n v="3"/>
    <n v="2"/>
    <n v="3"/>
    <n v="5332"/>
    <n v="21602"/>
    <n v="7"/>
    <n v="13"/>
    <x v="0"/>
    <n v="4"/>
    <n v="80"/>
    <n v="0"/>
    <n v="10"/>
    <n v="3"/>
    <n v="5"/>
    <n v="2"/>
    <n v="0"/>
    <n v="3"/>
  </r>
  <r>
    <s v="No"/>
    <s v="Travel_Frequently"/>
    <x v="2"/>
    <s v="Current Employees"/>
    <x v="0"/>
    <x v="3"/>
    <s v="STAFF-1853"/>
    <n v="1853"/>
    <x v="1"/>
    <x v="0"/>
    <x v="0"/>
    <s v="No"/>
    <s v="Y"/>
    <n v="2"/>
    <n v="-2"/>
    <n v="0"/>
    <n v="32"/>
    <n v="0"/>
    <m/>
    <n v="0"/>
    <n v="1"/>
    <n v="1318"/>
    <n v="10"/>
    <x v="2"/>
    <n v="1"/>
    <n v="4"/>
    <n v="79"/>
    <n v="3"/>
    <n v="2"/>
    <n v="2"/>
    <n v="4648"/>
    <n v="26075"/>
    <n v="8"/>
    <n v="13"/>
    <x v="0"/>
    <n v="3"/>
    <n v="80"/>
    <n v="0"/>
    <n v="4"/>
    <n v="4"/>
    <n v="0"/>
    <n v="0"/>
    <n v="0"/>
    <n v="0"/>
  </r>
  <r>
    <s v="No"/>
    <s v="Travel_Rarely"/>
    <x v="0"/>
    <s v="Current Employees"/>
    <x v="2"/>
    <x v="1"/>
    <s v="STAFF-1794"/>
    <n v="1794"/>
    <x v="1"/>
    <x v="8"/>
    <x v="2"/>
    <s v="No"/>
    <s v="Y"/>
    <n v="4"/>
    <n v="-2"/>
    <n v="0"/>
    <n v="37"/>
    <n v="0"/>
    <m/>
    <n v="0"/>
    <n v="1"/>
    <n v="1239"/>
    <n v="8"/>
    <x v="0"/>
    <n v="1"/>
    <n v="3"/>
    <n v="89"/>
    <n v="3"/>
    <n v="2"/>
    <n v="2"/>
    <n v="4071"/>
    <n v="12832"/>
    <n v="2"/>
    <n v="13"/>
    <x v="0"/>
    <n v="3"/>
    <n v="80"/>
    <n v="0"/>
    <n v="19"/>
    <n v="2"/>
    <n v="10"/>
    <n v="0"/>
    <n v="4"/>
    <n v="7"/>
  </r>
  <r>
    <s v="No"/>
    <s v="Travel_Rarely"/>
    <x v="2"/>
    <s v="Current Employees"/>
    <x v="2"/>
    <x v="2"/>
    <s v="STAFF-1865"/>
    <n v="1865"/>
    <x v="1"/>
    <x v="8"/>
    <x v="1"/>
    <s v="No"/>
    <s v="Y"/>
    <n v="3"/>
    <n v="-2"/>
    <n v="0"/>
    <n v="29"/>
    <n v="0"/>
    <m/>
    <n v="0"/>
    <n v="1"/>
    <n v="352"/>
    <n v="6"/>
    <x v="1"/>
    <n v="1"/>
    <n v="4"/>
    <n v="87"/>
    <n v="2"/>
    <n v="1"/>
    <n v="2"/>
    <n v="2804"/>
    <n v="15434"/>
    <n v="1"/>
    <n v="11"/>
    <x v="0"/>
    <n v="4"/>
    <n v="80"/>
    <n v="0"/>
    <n v="1"/>
    <n v="3"/>
    <n v="1"/>
    <n v="0"/>
    <n v="0"/>
    <n v="0"/>
  </r>
  <r>
    <s v="No"/>
    <s v="Travel_Rarely"/>
    <x v="2"/>
    <s v="Current Employees"/>
    <x v="2"/>
    <x v="1"/>
    <s v="STAFF-1419"/>
    <n v="1419"/>
    <x v="1"/>
    <x v="8"/>
    <x v="0"/>
    <s v="No"/>
    <s v="Y"/>
    <n v="3"/>
    <n v="-2"/>
    <n v="0"/>
    <n v="29"/>
    <n v="0"/>
    <m/>
    <n v="0"/>
    <n v="1"/>
    <n v="332"/>
    <n v="17"/>
    <x v="3"/>
    <n v="1"/>
    <n v="2"/>
    <n v="51"/>
    <n v="2"/>
    <n v="3"/>
    <n v="3"/>
    <n v="7988"/>
    <n v="9769"/>
    <n v="1"/>
    <n v="13"/>
    <x v="0"/>
    <n v="1"/>
    <n v="80"/>
    <n v="0"/>
    <n v="10"/>
    <n v="2"/>
    <n v="10"/>
    <n v="9"/>
    <n v="0"/>
    <n v="9"/>
  </r>
  <r>
    <s v="No"/>
    <s v="Travel_Rarely"/>
    <x v="0"/>
    <s v="Current Employees"/>
    <x v="2"/>
    <x v="0"/>
    <s v="STAFF-1778"/>
    <n v="1778"/>
    <x v="1"/>
    <x v="8"/>
    <x v="0"/>
    <s v="No"/>
    <s v="Y"/>
    <n v="5"/>
    <n v="-2"/>
    <n v="0"/>
    <n v="43"/>
    <n v="0"/>
    <m/>
    <n v="0"/>
    <n v="1"/>
    <n v="244"/>
    <n v="2"/>
    <x v="3"/>
    <n v="1"/>
    <n v="2"/>
    <n v="97"/>
    <n v="3"/>
    <n v="1"/>
    <n v="4"/>
    <n v="3539"/>
    <n v="5033"/>
    <n v="0"/>
    <n v="13"/>
    <x v="0"/>
    <n v="2"/>
    <n v="80"/>
    <n v="0"/>
    <n v="10"/>
    <n v="3"/>
    <n v="9"/>
    <n v="7"/>
    <n v="1"/>
    <n v="8"/>
  </r>
  <r>
    <s v="No"/>
    <s v="Travel_Rarely"/>
    <x v="3"/>
    <s v="Current Employees"/>
    <x v="1"/>
    <x v="4"/>
    <s v="STAFF-1694"/>
    <n v="1694"/>
    <x v="1"/>
    <x v="1"/>
    <x v="2"/>
    <s v="No"/>
    <s v="Y"/>
    <n v="1"/>
    <n v="-2"/>
    <n v="0"/>
    <n v="55"/>
    <n v="0"/>
    <m/>
    <n v="0"/>
    <n v="1"/>
    <n v="1441"/>
    <n v="22"/>
    <x v="3"/>
    <n v="1"/>
    <n v="4"/>
    <n v="94"/>
    <n v="2"/>
    <n v="1"/>
    <n v="4"/>
    <n v="3537"/>
    <n v="23737"/>
    <n v="5"/>
    <n v="12"/>
    <x v="0"/>
    <n v="4"/>
    <n v="80"/>
    <n v="1"/>
    <n v="8"/>
    <n v="3"/>
    <n v="4"/>
    <n v="2"/>
    <n v="1"/>
    <n v="2"/>
  </r>
  <r>
    <s v="No"/>
    <s v="Travel_Rarely"/>
    <x v="2"/>
    <s v="Current Employees"/>
    <x v="1"/>
    <x v="0"/>
    <s v="STAFF-1506"/>
    <n v="1506"/>
    <x v="1"/>
    <x v="1"/>
    <x v="2"/>
    <s v="No"/>
    <s v="Y"/>
    <n v="2"/>
    <n v="-2"/>
    <n v="0"/>
    <n v="28"/>
    <n v="0"/>
    <m/>
    <n v="0"/>
    <n v="1"/>
    <n v="1423"/>
    <n v="1"/>
    <x v="3"/>
    <n v="1"/>
    <n v="1"/>
    <n v="72"/>
    <n v="2"/>
    <n v="1"/>
    <n v="3"/>
    <n v="1563"/>
    <n v="12530"/>
    <n v="1"/>
    <n v="14"/>
    <x v="0"/>
    <n v="4"/>
    <n v="80"/>
    <n v="1"/>
    <n v="1"/>
    <n v="1"/>
    <n v="1"/>
    <n v="0"/>
    <n v="0"/>
    <n v="0"/>
  </r>
  <r>
    <s v="No"/>
    <s v="Travel_Rarely"/>
    <x v="0"/>
    <s v="Current Employees"/>
    <x v="1"/>
    <x v="0"/>
    <s v="STAFF-1892"/>
    <n v="1892"/>
    <x v="1"/>
    <x v="5"/>
    <x v="2"/>
    <s v="No"/>
    <s v="Y"/>
    <n v="3"/>
    <n v="-2"/>
    <n v="0"/>
    <n v="40"/>
    <n v="0"/>
    <m/>
    <n v="0"/>
    <n v="1"/>
    <n v="1137"/>
    <n v="1"/>
    <x v="2"/>
    <n v="1"/>
    <n v="1"/>
    <n v="98"/>
    <n v="3"/>
    <n v="4"/>
    <n v="3"/>
    <n v="16823"/>
    <n v="18991"/>
    <n v="2"/>
    <n v="11"/>
    <x v="0"/>
    <n v="1"/>
    <n v="80"/>
    <n v="1"/>
    <n v="22"/>
    <n v="3"/>
    <n v="19"/>
    <n v="7"/>
    <n v="11"/>
    <n v="16"/>
  </r>
  <r>
    <s v="No"/>
    <s v="Travel_Rarely"/>
    <x v="2"/>
    <s v="Current Employees"/>
    <x v="1"/>
    <x v="0"/>
    <s v="STAFF-1881"/>
    <n v="1881"/>
    <x v="1"/>
    <x v="2"/>
    <x v="2"/>
    <s v="No"/>
    <s v="Y"/>
    <n v="2"/>
    <n v="-2"/>
    <n v="0"/>
    <n v="31"/>
    <n v="0"/>
    <m/>
    <n v="0"/>
    <n v="1"/>
    <n v="311"/>
    <n v="20"/>
    <x v="3"/>
    <n v="1"/>
    <n v="2"/>
    <n v="89"/>
    <n v="3"/>
    <n v="2"/>
    <n v="3"/>
    <n v="4197"/>
    <n v="18624"/>
    <n v="1"/>
    <n v="11"/>
    <x v="0"/>
    <n v="1"/>
    <n v="80"/>
    <n v="1"/>
    <n v="10"/>
    <n v="3"/>
    <n v="10"/>
    <n v="8"/>
    <n v="0"/>
    <n v="2"/>
  </r>
  <r>
    <s v="No"/>
    <s v="Travel_Rarely"/>
    <x v="0"/>
    <s v="Current Employees"/>
    <x v="1"/>
    <x v="2"/>
    <s v="STAFF-1627"/>
    <n v="1627"/>
    <x v="1"/>
    <x v="2"/>
    <x v="2"/>
    <s v="No"/>
    <s v="Y"/>
    <n v="3"/>
    <n v="-2"/>
    <n v="0"/>
    <n v="39"/>
    <n v="0"/>
    <m/>
    <n v="0"/>
    <n v="1"/>
    <n v="170"/>
    <n v="3"/>
    <x v="0"/>
    <n v="1"/>
    <n v="3"/>
    <n v="76"/>
    <n v="2"/>
    <n v="2"/>
    <n v="3"/>
    <n v="3069"/>
    <n v="10302"/>
    <n v="0"/>
    <n v="15"/>
    <x v="0"/>
    <n v="4"/>
    <n v="80"/>
    <n v="1"/>
    <n v="11"/>
    <n v="3"/>
    <n v="10"/>
    <n v="8"/>
    <n v="0"/>
    <n v="7"/>
  </r>
  <r>
    <s v="No"/>
    <s v="Travel_Rarely"/>
    <x v="0"/>
    <s v="Current Employees"/>
    <x v="1"/>
    <x v="2"/>
    <s v="STAFF-1474"/>
    <n v="1474"/>
    <x v="1"/>
    <x v="1"/>
    <x v="2"/>
    <s v="No"/>
    <s v="Y"/>
    <n v="3"/>
    <n v="-2"/>
    <n v="0"/>
    <n v="40"/>
    <n v="0"/>
    <m/>
    <n v="0"/>
    <n v="1"/>
    <n v="896"/>
    <n v="2"/>
    <x v="3"/>
    <n v="1"/>
    <n v="3"/>
    <n v="68"/>
    <n v="3"/>
    <n v="1"/>
    <n v="3"/>
    <n v="2345"/>
    <n v="8045"/>
    <n v="2"/>
    <n v="14"/>
    <x v="0"/>
    <n v="3"/>
    <n v="80"/>
    <n v="1"/>
    <n v="8"/>
    <n v="4"/>
    <n v="3"/>
    <n v="1"/>
    <n v="1"/>
    <n v="2"/>
  </r>
  <r>
    <s v="No"/>
    <s v="Travel_Rarely"/>
    <x v="1"/>
    <s v="Current Employees"/>
    <x v="1"/>
    <x v="0"/>
    <s v="STAFF-1857"/>
    <n v="1857"/>
    <x v="1"/>
    <x v="3"/>
    <x v="2"/>
    <s v="No"/>
    <s v="Y"/>
    <n v="4"/>
    <n v="-2"/>
    <n v="0"/>
    <n v="46"/>
    <n v="0"/>
    <m/>
    <n v="0"/>
    <n v="1"/>
    <n v="706"/>
    <n v="2"/>
    <x v="0"/>
    <n v="1"/>
    <n v="4"/>
    <n v="82"/>
    <n v="3"/>
    <n v="3"/>
    <n v="4"/>
    <n v="8578"/>
    <n v="19989"/>
    <n v="3"/>
    <n v="14"/>
    <x v="0"/>
    <n v="3"/>
    <n v="80"/>
    <n v="1"/>
    <n v="12"/>
    <n v="2"/>
    <n v="9"/>
    <n v="8"/>
    <n v="4"/>
    <n v="7"/>
  </r>
  <r>
    <s v="No"/>
    <s v="Travel_Rarely"/>
    <x v="0"/>
    <s v="Current Employees"/>
    <x v="1"/>
    <x v="4"/>
    <s v="STAFF-1599"/>
    <n v="1599"/>
    <x v="1"/>
    <x v="2"/>
    <x v="2"/>
    <s v="No"/>
    <s v="Y"/>
    <n v="0"/>
    <n v="-2"/>
    <n v="0"/>
    <n v="43"/>
    <n v="0"/>
    <m/>
    <n v="0"/>
    <n v="1"/>
    <n v="990"/>
    <n v="27"/>
    <x v="3"/>
    <n v="1"/>
    <n v="4"/>
    <n v="87"/>
    <n v="4"/>
    <n v="1"/>
    <n v="4"/>
    <n v="4876"/>
    <n v="5855"/>
    <n v="5"/>
    <n v="12"/>
    <x v="0"/>
    <n v="3"/>
    <n v="80"/>
    <n v="1"/>
    <n v="8"/>
    <n v="3"/>
    <n v="6"/>
    <n v="4"/>
    <n v="0"/>
    <n v="2"/>
  </r>
  <r>
    <s v="No"/>
    <s v="Travel_Rarely"/>
    <x v="0"/>
    <s v="Current Employees"/>
    <x v="1"/>
    <x v="0"/>
    <s v="STAFF-1940"/>
    <n v="1940"/>
    <x v="1"/>
    <x v="1"/>
    <x v="2"/>
    <s v="No"/>
    <s v="Y"/>
    <n v="0"/>
    <n v="-2"/>
    <n v="0"/>
    <n v="38"/>
    <n v="0"/>
    <m/>
    <n v="0"/>
    <n v="1"/>
    <n v="1206"/>
    <n v="9"/>
    <x v="0"/>
    <n v="1"/>
    <n v="2"/>
    <n v="71"/>
    <n v="3"/>
    <n v="1"/>
    <n v="4"/>
    <n v="4771"/>
    <n v="14293"/>
    <n v="2"/>
    <n v="19"/>
    <x v="0"/>
    <n v="4"/>
    <n v="80"/>
    <n v="2"/>
    <n v="10"/>
    <n v="4"/>
    <n v="5"/>
    <n v="2"/>
    <n v="0"/>
    <n v="3"/>
  </r>
  <r>
    <s v="No"/>
    <s v="Travel_Rarely"/>
    <x v="3"/>
    <s v="Current Employees"/>
    <x v="1"/>
    <x v="2"/>
    <s v="STAFF-1424"/>
    <n v="1424"/>
    <x v="1"/>
    <x v="7"/>
    <x v="2"/>
    <s v="No"/>
    <s v="Y"/>
    <n v="4"/>
    <n v="-2"/>
    <n v="0"/>
    <n v="55"/>
    <n v="0"/>
    <m/>
    <n v="0"/>
    <n v="1"/>
    <n v="1136"/>
    <n v="1"/>
    <x v="2"/>
    <n v="1"/>
    <n v="2"/>
    <n v="81"/>
    <n v="4"/>
    <n v="4"/>
    <n v="4"/>
    <n v="14732"/>
    <n v="12414"/>
    <n v="2"/>
    <n v="13"/>
    <x v="0"/>
    <n v="4"/>
    <n v="80"/>
    <n v="2"/>
    <n v="31"/>
    <n v="4"/>
    <n v="7"/>
    <n v="7"/>
    <n v="0"/>
    <n v="0"/>
  </r>
  <r>
    <s v="No"/>
    <s v="Travel_Rarely"/>
    <x v="1"/>
    <s v="Current Employees"/>
    <x v="1"/>
    <x v="0"/>
    <s v="STAFF-1484"/>
    <n v="1484"/>
    <x v="1"/>
    <x v="4"/>
    <x v="2"/>
    <s v="No"/>
    <s v="Y"/>
    <n v="3"/>
    <n v="-2"/>
    <n v="0"/>
    <n v="49"/>
    <n v="0"/>
    <m/>
    <n v="0"/>
    <n v="1"/>
    <n v="1490"/>
    <n v="7"/>
    <x v="2"/>
    <n v="1"/>
    <n v="3"/>
    <n v="35"/>
    <n v="3"/>
    <n v="3"/>
    <n v="2"/>
    <n v="10466"/>
    <n v="20948"/>
    <n v="3"/>
    <n v="14"/>
    <x v="0"/>
    <n v="2"/>
    <n v="80"/>
    <n v="2"/>
    <n v="29"/>
    <n v="3"/>
    <n v="8"/>
    <n v="7"/>
    <n v="0"/>
    <n v="7"/>
  </r>
  <r>
    <s v="No"/>
    <s v="Travel_Rarely"/>
    <x v="2"/>
    <s v="Current Employees"/>
    <x v="1"/>
    <x v="0"/>
    <s v="STAFF-1859"/>
    <n v="1859"/>
    <x v="1"/>
    <x v="4"/>
    <x v="2"/>
    <s v="No"/>
    <s v="Y"/>
    <n v="3"/>
    <n v="-2"/>
    <n v="0"/>
    <n v="29"/>
    <n v="0"/>
    <m/>
    <n v="0"/>
    <n v="1"/>
    <n v="726"/>
    <n v="29"/>
    <x v="1"/>
    <n v="1"/>
    <n v="4"/>
    <n v="93"/>
    <n v="1"/>
    <n v="2"/>
    <n v="3"/>
    <n v="6384"/>
    <n v="21143"/>
    <n v="8"/>
    <n v="17"/>
    <x v="0"/>
    <n v="4"/>
    <n v="80"/>
    <n v="2"/>
    <n v="11"/>
    <n v="3"/>
    <n v="7"/>
    <n v="0"/>
    <n v="1"/>
    <n v="6"/>
  </r>
  <r>
    <s v="No"/>
    <s v="Travel_Rarely"/>
    <x v="2"/>
    <s v="Current Employees"/>
    <x v="1"/>
    <x v="1"/>
    <s v="STAFF-1619"/>
    <n v="1619"/>
    <x v="1"/>
    <x v="2"/>
    <x v="2"/>
    <s v="No"/>
    <s v="Y"/>
    <n v="3"/>
    <n v="-2"/>
    <n v="0"/>
    <n v="27"/>
    <n v="0"/>
    <m/>
    <n v="0"/>
    <n v="1"/>
    <n v="1302"/>
    <n v="19"/>
    <x v="3"/>
    <n v="1"/>
    <n v="4"/>
    <n v="67"/>
    <n v="2"/>
    <n v="1"/>
    <n v="3"/>
    <n v="4066"/>
    <n v="16290"/>
    <n v="1"/>
    <n v="11"/>
    <x v="0"/>
    <n v="1"/>
    <n v="80"/>
    <n v="2"/>
    <n v="7"/>
    <n v="3"/>
    <n v="7"/>
    <n v="7"/>
    <n v="0"/>
    <n v="7"/>
  </r>
  <r>
    <s v="No"/>
    <s v="Travel_Rarely"/>
    <x v="2"/>
    <s v="Current Employees"/>
    <x v="1"/>
    <x v="2"/>
    <s v="STAFF-1671"/>
    <n v="1671"/>
    <x v="1"/>
    <x v="1"/>
    <x v="2"/>
    <s v="No"/>
    <s v="Y"/>
    <n v="4"/>
    <n v="-2"/>
    <n v="0"/>
    <n v="32"/>
    <n v="0"/>
    <m/>
    <n v="0"/>
    <n v="1"/>
    <n v="977"/>
    <n v="2"/>
    <x v="3"/>
    <n v="1"/>
    <n v="4"/>
    <n v="45"/>
    <n v="3"/>
    <n v="2"/>
    <n v="2"/>
    <n v="5470"/>
    <n v="25518"/>
    <n v="0"/>
    <n v="13"/>
    <x v="0"/>
    <n v="3"/>
    <n v="80"/>
    <n v="2"/>
    <n v="10"/>
    <n v="2"/>
    <n v="9"/>
    <n v="5"/>
    <n v="1"/>
    <n v="6"/>
  </r>
  <r>
    <s v="No"/>
    <s v="Travel_Rarely"/>
    <x v="1"/>
    <s v="Current Employees"/>
    <x v="1"/>
    <x v="4"/>
    <s v="STAFF-1553"/>
    <n v="1553"/>
    <x v="1"/>
    <x v="4"/>
    <x v="2"/>
    <s v="No"/>
    <s v="Y"/>
    <n v="4"/>
    <n v="-2"/>
    <n v="0"/>
    <n v="45"/>
    <n v="0"/>
    <m/>
    <n v="0"/>
    <n v="1"/>
    <n v="538"/>
    <n v="1"/>
    <x v="2"/>
    <n v="1"/>
    <n v="4"/>
    <n v="66"/>
    <n v="3"/>
    <n v="3"/>
    <n v="4"/>
    <n v="7441"/>
    <n v="20933"/>
    <n v="1"/>
    <n v="12"/>
    <x v="0"/>
    <n v="1"/>
    <n v="80"/>
    <n v="3"/>
    <n v="10"/>
    <n v="3"/>
    <n v="10"/>
    <n v="8"/>
    <n v="7"/>
    <n v="7"/>
  </r>
  <r>
    <s v="No"/>
    <s v="Travel_Rarely"/>
    <x v="4"/>
    <s v="Current Employees"/>
    <x v="1"/>
    <x v="2"/>
    <s v="STAFF-1725"/>
    <n v="1725"/>
    <x v="1"/>
    <x v="2"/>
    <x v="2"/>
    <s v="No"/>
    <s v="Y"/>
    <n v="2"/>
    <n v="-2"/>
    <n v="0"/>
    <n v="24"/>
    <n v="0"/>
    <m/>
    <n v="0"/>
    <n v="1"/>
    <n v="506"/>
    <n v="29"/>
    <x v="1"/>
    <n v="1"/>
    <n v="2"/>
    <n v="91"/>
    <n v="3"/>
    <n v="1"/>
    <n v="3"/>
    <n v="3907"/>
    <n v="3622"/>
    <n v="1"/>
    <n v="13"/>
    <x v="0"/>
    <n v="2"/>
    <n v="80"/>
    <n v="3"/>
    <n v="6"/>
    <n v="4"/>
    <n v="6"/>
    <n v="2"/>
    <n v="1"/>
    <n v="2"/>
  </r>
  <r>
    <s v="No"/>
    <s v="Travel_Rarely"/>
    <x v="4"/>
    <s v="Current Employees"/>
    <x v="1"/>
    <x v="4"/>
    <s v="STAFF-1551"/>
    <n v="1551"/>
    <x v="1"/>
    <x v="2"/>
    <x v="2"/>
    <s v="No"/>
    <s v="Y"/>
    <n v="3"/>
    <n v="-2"/>
    <n v="0"/>
    <n v="24"/>
    <n v="0"/>
    <m/>
    <n v="0"/>
    <n v="1"/>
    <n v="350"/>
    <n v="21"/>
    <x v="0"/>
    <n v="1"/>
    <n v="4"/>
    <n v="57"/>
    <n v="2"/>
    <n v="1"/>
    <n v="4"/>
    <n v="2296"/>
    <n v="10036"/>
    <n v="0"/>
    <n v="14"/>
    <x v="0"/>
    <n v="2"/>
    <n v="80"/>
    <n v="3"/>
    <n v="2"/>
    <n v="3"/>
    <n v="1"/>
    <n v="1"/>
    <n v="0"/>
    <n v="0"/>
  </r>
  <r>
    <s v="No"/>
    <s v="Travel_Rarely"/>
    <x v="0"/>
    <s v="Current Employees"/>
    <x v="1"/>
    <x v="1"/>
    <s v="STAFF-1871"/>
    <n v="1871"/>
    <x v="1"/>
    <x v="1"/>
    <x v="2"/>
    <s v="No"/>
    <s v="Y"/>
    <n v="2"/>
    <n v="-2"/>
    <n v="0"/>
    <n v="39"/>
    <n v="0"/>
    <m/>
    <n v="0"/>
    <n v="1"/>
    <n v="835"/>
    <n v="19"/>
    <x v="2"/>
    <n v="1"/>
    <n v="4"/>
    <n v="41"/>
    <n v="3"/>
    <n v="2"/>
    <n v="4"/>
    <n v="3902"/>
    <n v="5141"/>
    <n v="8"/>
    <n v="14"/>
    <x v="0"/>
    <n v="2"/>
    <n v="80"/>
    <n v="3"/>
    <n v="7"/>
    <n v="3"/>
    <n v="2"/>
    <n v="2"/>
    <n v="2"/>
    <n v="2"/>
  </r>
  <r>
    <s v="No"/>
    <s v="Travel_Rarely"/>
    <x v="0"/>
    <s v="Current Employees"/>
    <x v="1"/>
    <x v="0"/>
    <s v="STAFF-2031"/>
    <n v="2031"/>
    <x v="1"/>
    <x v="5"/>
    <x v="1"/>
    <s v="No"/>
    <s v="Y"/>
    <n v="2"/>
    <n v="-2"/>
    <n v="0"/>
    <n v="42"/>
    <n v="0"/>
    <m/>
    <n v="0"/>
    <n v="1"/>
    <n v="300"/>
    <n v="2"/>
    <x v="3"/>
    <n v="1"/>
    <n v="1"/>
    <n v="56"/>
    <n v="3"/>
    <n v="5"/>
    <n v="3"/>
    <n v="18880"/>
    <n v="17312"/>
    <n v="5"/>
    <n v="11"/>
    <x v="0"/>
    <n v="1"/>
    <n v="80"/>
    <n v="0"/>
    <n v="24"/>
    <n v="2"/>
    <n v="22"/>
    <n v="6"/>
    <n v="4"/>
    <n v="14"/>
  </r>
  <r>
    <s v="No"/>
    <s v="Travel_Rarely"/>
    <x v="0"/>
    <s v="Current Employees"/>
    <x v="1"/>
    <x v="2"/>
    <s v="STAFF-1543"/>
    <n v="1543"/>
    <x v="1"/>
    <x v="1"/>
    <x v="1"/>
    <s v="No"/>
    <s v="Y"/>
    <n v="2"/>
    <n v="-2"/>
    <n v="0"/>
    <n v="37"/>
    <n v="0"/>
    <m/>
    <n v="0"/>
    <n v="1"/>
    <n v="674"/>
    <n v="13"/>
    <x v="3"/>
    <n v="1"/>
    <n v="1"/>
    <n v="47"/>
    <n v="3"/>
    <n v="2"/>
    <n v="4"/>
    <n v="4285"/>
    <n v="3031"/>
    <n v="1"/>
    <n v="17"/>
    <x v="0"/>
    <n v="1"/>
    <n v="80"/>
    <n v="0"/>
    <n v="10"/>
    <n v="3"/>
    <n v="10"/>
    <n v="8"/>
    <n v="3"/>
    <n v="7"/>
  </r>
  <r>
    <s v="No"/>
    <s v="Travel_Rarely"/>
    <x v="2"/>
    <s v="Current Employees"/>
    <x v="1"/>
    <x v="0"/>
    <s v="STAFF-1434"/>
    <n v="1434"/>
    <x v="1"/>
    <x v="2"/>
    <x v="1"/>
    <s v="No"/>
    <s v="Y"/>
    <n v="3"/>
    <n v="-2"/>
    <n v="0"/>
    <n v="27"/>
    <n v="0"/>
    <m/>
    <n v="0"/>
    <n v="1"/>
    <n v="1377"/>
    <n v="11"/>
    <x v="1"/>
    <n v="1"/>
    <n v="2"/>
    <n v="91"/>
    <n v="3"/>
    <n v="1"/>
    <n v="3"/>
    <n v="2099"/>
    <n v="7679"/>
    <n v="0"/>
    <n v="14"/>
    <x v="0"/>
    <n v="2"/>
    <n v="80"/>
    <n v="0"/>
    <n v="6"/>
    <n v="4"/>
    <n v="5"/>
    <n v="0"/>
    <n v="1"/>
    <n v="4"/>
  </r>
  <r>
    <s v="No"/>
    <s v="Travel_Rarely"/>
    <x v="0"/>
    <s v="Current Employees"/>
    <x v="1"/>
    <x v="0"/>
    <s v="STAFF-1621"/>
    <n v="1621"/>
    <x v="1"/>
    <x v="1"/>
    <x v="1"/>
    <s v="No"/>
    <s v="Y"/>
    <n v="2"/>
    <n v="-2"/>
    <n v="0"/>
    <n v="35"/>
    <n v="0"/>
    <m/>
    <n v="0"/>
    <n v="1"/>
    <n v="819"/>
    <n v="18"/>
    <x v="4"/>
    <n v="1"/>
    <n v="2"/>
    <n v="48"/>
    <n v="4"/>
    <n v="2"/>
    <n v="3"/>
    <n v="5208"/>
    <n v="26312"/>
    <n v="1"/>
    <n v="11"/>
    <x v="0"/>
    <n v="4"/>
    <n v="80"/>
    <n v="0"/>
    <n v="16"/>
    <n v="3"/>
    <n v="16"/>
    <n v="15"/>
    <n v="1"/>
    <n v="10"/>
  </r>
  <r>
    <s v="No"/>
    <s v="Travel_Rarely"/>
    <x v="2"/>
    <s v="Current Employees"/>
    <x v="1"/>
    <x v="2"/>
    <s v="STAFF-2068"/>
    <n v="2068"/>
    <x v="1"/>
    <x v="2"/>
    <x v="1"/>
    <s v="No"/>
    <s v="Y"/>
    <n v="3"/>
    <n v="-2"/>
    <n v="0"/>
    <n v="34"/>
    <n v="0"/>
    <m/>
    <n v="0"/>
    <n v="1"/>
    <n v="628"/>
    <n v="8"/>
    <x v="3"/>
    <n v="1"/>
    <n v="2"/>
    <n v="82"/>
    <n v="4"/>
    <n v="2"/>
    <n v="3"/>
    <n v="4404"/>
    <n v="10228"/>
    <n v="2"/>
    <n v="12"/>
    <x v="0"/>
    <n v="1"/>
    <n v="80"/>
    <n v="0"/>
    <n v="6"/>
    <n v="4"/>
    <n v="4"/>
    <n v="3"/>
    <n v="1"/>
    <n v="2"/>
  </r>
  <r>
    <s v="No"/>
    <s v="Travel_Rarely"/>
    <x v="1"/>
    <s v="Current Employees"/>
    <x v="1"/>
    <x v="2"/>
    <s v="STAFF-1689"/>
    <n v="1689"/>
    <x v="1"/>
    <x v="4"/>
    <x v="1"/>
    <s v="No"/>
    <s v="Y"/>
    <n v="2"/>
    <n v="-2"/>
    <n v="0"/>
    <n v="53"/>
    <n v="0"/>
    <m/>
    <n v="0"/>
    <n v="1"/>
    <n v="1395"/>
    <n v="24"/>
    <x v="2"/>
    <n v="1"/>
    <n v="2"/>
    <n v="48"/>
    <n v="4"/>
    <n v="3"/>
    <n v="4"/>
    <n v="7005"/>
    <n v="3458"/>
    <n v="3"/>
    <n v="15"/>
    <x v="0"/>
    <n v="3"/>
    <n v="80"/>
    <n v="0"/>
    <n v="11"/>
    <n v="3"/>
    <n v="4"/>
    <n v="3"/>
    <n v="1"/>
    <n v="2"/>
  </r>
  <r>
    <s v="No"/>
    <s v="Travel_Rarely"/>
    <x v="1"/>
    <s v="Current Employees"/>
    <x v="1"/>
    <x v="0"/>
    <s v="STAFF-1867"/>
    <n v="1867"/>
    <x v="1"/>
    <x v="7"/>
    <x v="1"/>
    <s v="No"/>
    <s v="Y"/>
    <n v="3"/>
    <n v="-2"/>
    <n v="0"/>
    <n v="48"/>
    <n v="0"/>
    <m/>
    <n v="0"/>
    <n v="1"/>
    <n v="1224"/>
    <n v="10"/>
    <x v="3"/>
    <n v="1"/>
    <n v="4"/>
    <n v="91"/>
    <n v="2"/>
    <n v="5"/>
    <n v="2"/>
    <n v="19665"/>
    <n v="13583"/>
    <n v="4"/>
    <n v="12"/>
    <x v="0"/>
    <n v="4"/>
    <n v="80"/>
    <n v="0"/>
    <n v="29"/>
    <n v="3"/>
    <n v="22"/>
    <n v="10"/>
    <n v="12"/>
    <n v="9"/>
  </r>
  <r>
    <s v="No"/>
    <s v="Travel_Rarely"/>
    <x v="2"/>
    <s v="Current Employees"/>
    <x v="1"/>
    <x v="2"/>
    <s v="STAFF-1989"/>
    <n v="1989"/>
    <x v="1"/>
    <x v="2"/>
    <x v="1"/>
    <s v="No"/>
    <s v="Y"/>
    <n v="6"/>
    <n v="-2"/>
    <n v="0"/>
    <n v="30"/>
    <n v="0"/>
    <m/>
    <n v="0"/>
    <n v="1"/>
    <n v="911"/>
    <n v="1"/>
    <x v="0"/>
    <n v="1"/>
    <n v="4"/>
    <n v="76"/>
    <n v="3"/>
    <n v="1"/>
    <n v="2"/>
    <n v="3748"/>
    <n v="4077"/>
    <n v="1"/>
    <n v="13"/>
    <x v="0"/>
    <n v="3"/>
    <n v="80"/>
    <n v="0"/>
    <n v="12"/>
    <n v="2"/>
    <n v="12"/>
    <n v="8"/>
    <n v="1"/>
    <n v="7"/>
  </r>
  <r>
    <s v="No"/>
    <s v="Travel_Rarely"/>
    <x v="2"/>
    <s v="Current Employees"/>
    <x v="1"/>
    <x v="0"/>
    <s v="STAFF-1954"/>
    <n v="1954"/>
    <x v="1"/>
    <x v="4"/>
    <x v="1"/>
    <s v="No"/>
    <s v="Y"/>
    <n v="5"/>
    <n v="-2"/>
    <n v="0"/>
    <n v="29"/>
    <n v="0"/>
    <m/>
    <n v="0"/>
    <n v="1"/>
    <n v="136"/>
    <n v="1"/>
    <x v="3"/>
    <n v="1"/>
    <n v="1"/>
    <n v="89"/>
    <n v="3"/>
    <n v="2"/>
    <n v="3"/>
    <n v="5373"/>
    <n v="6225"/>
    <n v="0"/>
    <n v="12"/>
    <x v="0"/>
    <n v="1"/>
    <n v="80"/>
    <n v="1"/>
    <n v="6"/>
    <n v="2"/>
    <n v="5"/>
    <n v="3"/>
    <n v="0"/>
    <n v="2"/>
  </r>
  <r>
    <s v="No"/>
    <s v="Travel_Rarely"/>
    <x v="1"/>
    <s v="Current Employees"/>
    <x v="1"/>
    <x v="4"/>
    <s v="STAFF-1473"/>
    <n v="1473"/>
    <x v="1"/>
    <x v="4"/>
    <x v="1"/>
    <s v="No"/>
    <s v="Y"/>
    <n v="0"/>
    <n v="-2"/>
    <n v="0"/>
    <n v="49"/>
    <n v="0"/>
    <m/>
    <n v="0"/>
    <n v="1"/>
    <n v="1495"/>
    <n v="5"/>
    <x v="2"/>
    <n v="1"/>
    <n v="4"/>
    <n v="96"/>
    <n v="3"/>
    <n v="2"/>
    <n v="4"/>
    <n v="6651"/>
    <n v="21534"/>
    <n v="2"/>
    <n v="14"/>
    <x v="0"/>
    <n v="2"/>
    <n v="80"/>
    <n v="1"/>
    <n v="20"/>
    <n v="2"/>
    <n v="3"/>
    <n v="2"/>
    <n v="1"/>
    <n v="2"/>
  </r>
  <r>
    <s v="No"/>
    <s v="Travel_Rarely"/>
    <x v="0"/>
    <s v="Current Employees"/>
    <x v="1"/>
    <x v="0"/>
    <s v="STAFF-1971"/>
    <n v="1971"/>
    <x v="1"/>
    <x v="4"/>
    <x v="1"/>
    <s v="No"/>
    <s v="Y"/>
    <n v="1"/>
    <n v="-2"/>
    <n v="0"/>
    <n v="43"/>
    <n v="0"/>
    <m/>
    <n v="0"/>
    <n v="1"/>
    <n v="574"/>
    <n v="11"/>
    <x v="3"/>
    <n v="1"/>
    <n v="1"/>
    <n v="30"/>
    <n v="3"/>
    <n v="3"/>
    <n v="3"/>
    <n v="7510"/>
    <n v="16873"/>
    <n v="1"/>
    <n v="17"/>
    <x v="0"/>
    <n v="2"/>
    <n v="80"/>
    <n v="1"/>
    <n v="10"/>
    <n v="3"/>
    <n v="10"/>
    <n v="9"/>
    <n v="0"/>
    <n v="9"/>
  </r>
  <r>
    <s v="No"/>
    <s v="Travel_Rarely"/>
    <x v="2"/>
    <s v="Current Employees"/>
    <x v="1"/>
    <x v="4"/>
    <s v="STAFF-1415"/>
    <n v="1415"/>
    <x v="1"/>
    <x v="2"/>
    <x v="1"/>
    <s v="No"/>
    <s v="Y"/>
    <n v="2"/>
    <n v="-2"/>
    <n v="0"/>
    <n v="25"/>
    <n v="0"/>
    <m/>
    <n v="0"/>
    <n v="1"/>
    <n v="949"/>
    <n v="1"/>
    <x v="3"/>
    <n v="1"/>
    <n v="4"/>
    <n v="81"/>
    <n v="3"/>
    <n v="1"/>
    <n v="4"/>
    <n v="3229"/>
    <n v="4910"/>
    <n v="4"/>
    <n v="11"/>
    <x v="0"/>
    <n v="2"/>
    <n v="80"/>
    <n v="1"/>
    <n v="7"/>
    <n v="2"/>
    <n v="3"/>
    <n v="2"/>
    <n v="0"/>
    <n v="2"/>
  </r>
  <r>
    <s v="No"/>
    <s v="Travel_Rarely"/>
    <x v="1"/>
    <s v="Current Employees"/>
    <x v="1"/>
    <x v="4"/>
    <s v="STAFF-1438"/>
    <n v="1438"/>
    <x v="1"/>
    <x v="1"/>
    <x v="1"/>
    <s v="No"/>
    <s v="Y"/>
    <n v="2"/>
    <n v="-2"/>
    <n v="0"/>
    <n v="47"/>
    <n v="0"/>
    <m/>
    <n v="0"/>
    <n v="1"/>
    <n v="465"/>
    <n v="1"/>
    <x v="3"/>
    <n v="1"/>
    <n v="4"/>
    <n v="74"/>
    <n v="3"/>
    <n v="1"/>
    <n v="4"/>
    <n v="3420"/>
    <n v="10205"/>
    <n v="7"/>
    <n v="12"/>
    <x v="0"/>
    <n v="3"/>
    <n v="80"/>
    <n v="1"/>
    <n v="17"/>
    <n v="2"/>
    <n v="6"/>
    <n v="5"/>
    <n v="1"/>
    <n v="2"/>
  </r>
  <r>
    <s v="No"/>
    <s v="Travel_Rarely"/>
    <x v="0"/>
    <s v="Current Employees"/>
    <x v="1"/>
    <x v="2"/>
    <s v="STAFF-1826"/>
    <n v="1826"/>
    <x v="1"/>
    <x v="2"/>
    <x v="1"/>
    <s v="No"/>
    <s v="Y"/>
    <n v="2"/>
    <n v="-2"/>
    <n v="0"/>
    <n v="35"/>
    <n v="0"/>
    <m/>
    <n v="0"/>
    <n v="1"/>
    <n v="185"/>
    <n v="23"/>
    <x v="2"/>
    <n v="1"/>
    <n v="2"/>
    <n v="91"/>
    <n v="1"/>
    <n v="1"/>
    <n v="3"/>
    <n v="2705"/>
    <n v="9696"/>
    <n v="0"/>
    <n v="16"/>
    <x v="0"/>
    <n v="2"/>
    <n v="80"/>
    <n v="1"/>
    <n v="6"/>
    <n v="4"/>
    <n v="5"/>
    <n v="4"/>
    <n v="0"/>
    <n v="3"/>
  </r>
  <r>
    <s v="No"/>
    <s v="Travel_Rarely"/>
    <x v="2"/>
    <s v="Current Employees"/>
    <x v="1"/>
    <x v="2"/>
    <s v="STAFF-1609"/>
    <n v="1609"/>
    <x v="1"/>
    <x v="1"/>
    <x v="1"/>
    <s v="No"/>
    <s v="Y"/>
    <n v="3"/>
    <n v="-2"/>
    <n v="0"/>
    <n v="30"/>
    <n v="0"/>
    <m/>
    <n v="0"/>
    <n v="1"/>
    <n v="241"/>
    <n v="7"/>
    <x v="3"/>
    <n v="1"/>
    <n v="2"/>
    <n v="48"/>
    <n v="2"/>
    <n v="1"/>
    <n v="2"/>
    <n v="2141"/>
    <n v="5348"/>
    <n v="1"/>
    <n v="12"/>
    <x v="0"/>
    <n v="2"/>
    <n v="80"/>
    <n v="1"/>
    <n v="6"/>
    <n v="2"/>
    <n v="6"/>
    <n v="4"/>
    <n v="1"/>
    <n v="1"/>
  </r>
  <r>
    <s v="No"/>
    <s v="Travel_Rarely"/>
    <x v="2"/>
    <s v="Current Employees"/>
    <x v="1"/>
    <x v="2"/>
    <s v="STAFF-1696"/>
    <n v="1696"/>
    <x v="1"/>
    <x v="2"/>
    <x v="1"/>
    <s v="No"/>
    <s v="Y"/>
    <n v="3"/>
    <n v="-2"/>
    <n v="0"/>
    <n v="34"/>
    <n v="0"/>
    <m/>
    <n v="0"/>
    <n v="1"/>
    <n v="1157"/>
    <n v="5"/>
    <x v="0"/>
    <n v="1"/>
    <n v="2"/>
    <n v="57"/>
    <n v="2"/>
    <n v="2"/>
    <n v="4"/>
    <n v="3986"/>
    <n v="11912"/>
    <n v="1"/>
    <n v="14"/>
    <x v="0"/>
    <n v="3"/>
    <n v="80"/>
    <n v="1"/>
    <n v="15"/>
    <n v="4"/>
    <n v="15"/>
    <n v="10"/>
    <n v="4"/>
    <n v="13"/>
  </r>
  <r>
    <s v="No"/>
    <s v="Travel_Rarely"/>
    <x v="2"/>
    <s v="Current Employees"/>
    <x v="1"/>
    <x v="4"/>
    <s v="STAFF-1931"/>
    <n v="1931"/>
    <x v="1"/>
    <x v="1"/>
    <x v="1"/>
    <s v="No"/>
    <s v="Y"/>
    <n v="3"/>
    <n v="-2"/>
    <n v="0"/>
    <n v="27"/>
    <n v="0"/>
    <m/>
    <n v="0"/>
    <n v="1"/>
    <n v="1354"/>
    <n v="2"/>
    <x v="2"/>
    <n v="1"/>
    <n v="4"/>
    <n v="41"/>
    <n v="3"/>
    <n v="1"/>
    <n v="4"/>
    <n v="2226"/>
    <n v="6073"/>
    <n v="1"/>
    <n v="11"/>
    <x v="0"/>
    <n v="3"/>
    <n v="80"/>
    <n v="1"/>
    <n v="6"/>
    <n v="2"/>
    <n v="5"/>
    <n v="3"/>
    <n v="1"/>
    <n v="2"/>
  </r>
  <r>
    <s v="No"/>
    <s v="Travel_Rarely"/>
    <x v="2"/>
    <s v="Current Employees"/>
    <x v="1"/>
    <x v="0"/>
    <s v="STAFF-1721"/>
    <n v="1721"/>
    <x v="1"/>
    <x v="2"/>
    <x v="1"/>
    <s v="No"/>
    <s v="Y"/>
    <n v="2"/>
    <n v="-2"/>
    <n v="0"/>
    <n v="31"/>
    <n v="0"/>
    <m/>
    <n v="0"/>
    <n v="1"/>
    <n v="741"/>
    <n v="2"/>
    <x v="2"/>
    <n v="1"/>
    <n v="2"/>
    <n v="69"/>
    <n v="3"/>
    <n v="1"/>
    <n v="3"/>
    <n v="3477"/>
    <n v="18103"/>
    <n v="1"/>
    <n v="14"/>
    <x v="0"/>
    <n v="4"/>
    <n v="80"/>
    <n v="1"/>
    <n v="6"/>
    <n v="4"/>
    <n v="5"/>
    <n v="2"/>
    <n v="0"/>
    <n v="3"/>
  </r>
  <r>
    <s v="No"/>
    <s v="Travel_Rarely"/>
    <x v="2"/>
    <s v="Current Employees"/>
    <x v="1"/>
    <x v="0"/>
    <s v="STAFF-1729"/>
    <n v="1729"/>
    <x v="1"/>
    <x v="1"/>
    <x v="1"/>
    <s v="No"/>
    <s v="Y"/>
    <n v="2"/>
    <n v="-2"/>
    <n v="0"/>
    <n v="30"/>
    <n v="0"/>
    <m/>
    <n v="0"/>
    <n v="1"/>
    <n v="793"/>
    <n v="16"/>
    <x v="1"/>
    <n v="1"/>
    <n v="2"/>
    <n v="33"/>
    <n v="3"/>
    <n v="1"/>
    <n v="4"/>
    <n v="2862"/>
    <n v="3811"/>
    <n v="1"/>
    <n v="12"/>
    <x v="0"/>
    <n v="2"/>
    <n v="80"/>
    <n v="1"/>
    <n v="10"/>
    <n v="2"/>
    <n v="10"/>
    <n v="0"/>
    <n v="0"/>
    <n v="8"/>
  </r>
  <r>
    <s v="No"/>
    <s v="Travel_Rarely"/>
    <x v="2"/>
    <s v="Current Employees"/>
    <x v="1"/>
    <x v="0"/>
    <s v="STAFF-1580"/>
    <n v="1580"/>
    <x v="1"/>
    <x v="1"/>
    <x v="1"/>
    <s v="No"/>
    <s v="Y"/>
    <n v="3"/>
    <n v="-2"/>
    <n v="0"/>
    <n v="34"/>
    <n v="0"/>
    <m/>
    <n v="0"/>
    <n v="1"/>
    <n v="1351"/>
    <n v="1"/>
    <x v="2"/>
    <n v="1"/>
    <n v="2"/>
    <n v="45"/>
    <n v="3"/>
    <n v="2"/>
    <n v="4"/>
    <n v="5484"/>
    <n v="13008"/>
    <n v="9"/>
    <n v="17"/>
    <x v="0"/>
    <n v="2"/>
    <n v="80"/>
    <n v="1"/>
    <n v="9"/>
    <n v="2"/>
    <n v="2"/>
    <n v="2"/>
    <n v="2"/>
    <n v="1"/>
  </r>
  <r>
    <s v="No"/>
    <s v="Travel_Rarely"/>
    <x v="0"/>
    <s v="Current Employees"/>
    <x v="1"/>
    <x v="0"/>
    <s v="STAFF-1903"/>
    <n v="1903"/>
    <x v="1"/>
    <x v="4"/>
    <x v="1"/>
    <s v="No"/>
    <s v="Y"/>
    <n v="5"/>
    <n v="-2"/>
    <n v="0"/>
    <n v="44"/>
    <n v="0"/>
    <m/>
    <n v="0"/>
    <n v="1"/>
    <n v="170"/>
    <n v="1"/>
    <x v="2"/>
    <n v="1"/>
    <n v="2"/>
    <n v="78"/>
    <n v="4"/>
    <n v="2"/>
    <n v="3"/>
    <n v="5033"/>
    <n v="9364"/>
    <n v="2"/>
    <n v="15"/>
    <x v="0"/>
    <n v="4"/>
    <n v="80"/>
    <n v="1"/>
    <n v="10"/>
    <n v="3"/>
    <n v="2"/>
    <n v="0"/>
    <n v="2"/>
    <n v="2"/>
  </r>
  <r>
    <s v="No"/>
    <s v="Travel_Rarely"/>
    <x v="0"/>
    <s v="Current Employees"/>
    <x v="1"/>
    <x v="2"/>
    <s v="STAFF-1542"/>
    <n v="1542"/>
    <x v="1"/>
    <x v="2"/>
    <x v="1"/>
    <s v="No"/>
    <s v="Y"/>
    <n v="3"/>
    <n v="-2"/>
    <n v="0"/>
    <n v="42"/>
    <n v="0"/>
    <m/>
    <n v="0"/>
    <n v="1"/>
    <n v="1210"/>
    <n v="2"/>
    <x v="3"/>
    <n v="1"/>
    <n v="3"/>
    <n v="68"/>
    <n v="2"/>
    <n v="1"/>
    <n v="2"/>
    <n v="4841"/>
    <n v="24052"/>
    <n v="4"/>
    <n v="14"/>
    <x v="0"/>
    <n v="2"/>
    <n v="80"/>
    <n v="1"/>
    <n v="4"/>
    <n v="3"/>
    <n v="1"/>
    <n v="0"/>
    <n v="0"/>
    <n v="0"/>
  </r>
  <r>
    <s v="No"/>
    <s v="Travel_Rarely"/>
    <x v="0"/>
    <s v="Current Employees"/>
    <x v="1"/>
    <x v="0"/>
    <s v="STAFF-1601"/>
    <n v="1601"/>
    <x v="1"/>
    <x v="2"/>
    <x v="1"/>
    <s v="No"/>
    <s v="Y"/>
    <n v="5"/>
    <n v="-2"/>
    <n v="0"/>
    <n v="35"/>
    <n v="0"/>
    <m/>
    <n v="0"/>
    <n v="1"/>
    <n v="1349"/>
    <n v="7"/>
    <x v="0"/>
    <n v="1"/>
    <n v="3"/>
    <n v="63"/>
    <n v="2"/>
    <n v="1"/>
    <n v="4"/>
    <n v="2690"/>
    <n v="7713"/>
    <n v="1"/>
    <n v="18"/>
    <x v="0"/>
    <n v="4"/>
    <n v="80"/>
    <n v="1"/>
    <n v="1"/>
    <n v="2"/>
    <n v="1"/>
    <n v="0"/>
    <n v="0"/>
    <n v="1"/>
  </r>
  <r>
    <s v="No"/>
    <s v="Travel_Rarely"/>
    <x v="0"/>
    <s v="Current Employees"/>
    <x v="1"/>
    <x v="2"/>
    <s v="STAFF-1911"/>
    <n v="1911"/>
    <x v="1"/>
    <x v="7"/>
    <x v="1"/>
    <s v="No"/>
    <s v="Y"/>
    <n v="3"/>
    <n v="-2"/>
    <n v="0"/>
    <n v="42"/>
    <n v="0"/>
    <m/>
    <n v="0"/>
    <n v="1"/>
    <n v="1396"/>
    <n v="6"/>
    <x v="3"/>
    <n v="1"/>
    <n v="3"/>
    <n v="83"/>
    <n v="3"/>
    <n v="3"/>
    <n v="3"/>
    <n v="13348"/>
    <n v="14842"/>
    <n v="9"/>
    <n v="13"/>
    <x v="0"/>
    <n v="2"/>
    <n v="80"/>
    <n v="1"/>
    <n v="18"/>
    <n v="4"/>
    <n v="13"/>
    <n v="7"/>
    <n v="5"/>
    <n v="7"/>
  </r>
  <r>
    <s v="No"/>
    <s v="Travel_Rarely"/>
    <x v="2"/>
    <s v="Current Employees"/>
    <x v="1"/>
    <x v="0"/>
    <s v="STAFF-1799"/>
    <n v="1799"/>
    <x v="1"/>
    <x v="1"/>
    <x v="1"/>
    <s v="No"/>
    <s v="Y"/>
    <n v="6"/>
    <n v="-2"/>
    <n v="0"/>
    <n v="28"/>
    <n v="0"/>
    <m/>
    <n v="0"/>
    <n v="1"/>
    <n v="1181"/>
    <n v="1"/>
    <x v="3"/>
    <n v="1"/>
    <n v="3"/>
    <n v="82"/>
    <n v="3"/>
    <n v="1"/>
    <n v="4"/>
    <n v="2044"/>
    <n v="5531"/>
    <n v="1"/>
    <n v="11"/>
    <x v="0"/>
    <n v="3"/>
    <n v="80"/>
    <n v="1"/>
    <n v="5"/>
    <n v="4"/>
    <n v="5"/>
    <n v="3"/>
    <n v="0"/>
    <n v="3"/>
  </r>
  <r>
    <s v="No"/>
    <s v="Travel_Rarely"/>
    <x v="2"/>
    <s v="Current Employees"/>
    <x v="1"/>
    <x v="0"/>
    <s v="STAFF-1763"/>
    <n v="1763"/>
    <x v="1"/>
    <x v="4"/>
    <x v="1"/>
    <s v="No"/>
    <s v="Y"/>
    <n v="3"/>
    <n v="-2"/>
    <n v="0"/>
    <n v="30"/>
    <n v="0"/>
    <m/>
    <n v="0"/>
    <n v="1"/>
    <n v="305"/>
    <n v="16"/>
    <x v="3"/>
    <n v="1"/>
    <n v="3"/>
    <n v="58"/>
    <n v="4"/>
    <n v="2"/>
    <n v="3"/>
    <n v="5294"/>
    <n v="9128"/>
    <n v="3"/>
    <n v="16"/>
    <x v="0"/>
    <n v="3"/>
    <n v="80"/>
    <n v="1"/>
    <n v="10"/>
    <n v="3"/>
    <n v="7"/>
    <n v="0"/>
    <n v="1"/>
    <n v="7"/>
  </r>
  <r>
    <s v="No"/>
    <s v="Travel_Rarely"/>
    <x v="4"/>
    <s v="Current Employees"/>
    <x v="1"/>
    <x v="2"/>
    <s v="STAFF-1707"/>
    <n v="1707"/>
    <x v="1"/>
    <x v="1"/>
    <x v="1"/>
    <s v="No"/>
    <s v="Y"/>
    <n v="1"/>
    <n v="-2"/>
    <n v="0"/>
    <n v="24"/>
    <n v="0"/>
    <m/>
    <n v="0"/>
    <n v="1"/>
    <n v="581"/>
    <n v="9"/>
    <x v="3"/>
    <n v="1"/>
    <n v="3"/>
    <n v="62"/>
    <n v="4"/>
    <n v="1"/>
    <n v="3"/>
    <n v="4401"/>
    <n v="17616"/>
    <n v="1"/>
    <n v="16"/>
    <x v="0"/>
    <n v="4"/>
    <n v="80"/>
    <n v="1"/>
    <n v="5"/>
    <n v="3"/>
    <n v="5"/>
    <n v="3"/>
    <n v="0"/>
    <n v="4"/>
  </r>
  <r>
    <s v="No"/>
    <s v="Travel_Rarely"/>
    <x v="0"/>
    <s v="Current Employees"/>
    <x v="1"/>
    <x v="2"/>
    <s v="STAFF-2062"/>
    <n v="2062"/>
    <x v="1"/>
    <x v="4"/>
    <x v="1"/>
    <s v="No"/>
    <s v="Y"/>
    <n v="5"/>
    <n v="-2"/>
    <n v="0"/>
    <n v="39"/>
    <n v="0"/>
    <m/>
    <n v="0"/>
    <n v="1"/>
    <n v="613"/>
    <n v="6"/>
    <x v="1"/>
    <n v="1"/>
    <n v="4"/>
    <n v="42"/>
    <n v="2"/>
    <n v="3"/>
    <n v="3"/>
    <n v="9991"/>
    <n v="21457"/>
    <n v="4"/>
    <n v="15"/>
    <x v="0"/>
    <n v="1"/>
    <n v="80"/>
    <n v="1"/>
    <n v="9"/>
    <n v="3"/>
    <n v="7"/>
    <n v="7"/>
    <n v="1"/>
    <n v="7"/>
  </r>
  <r>
    <s v="No"/>
    <s v="Travel_Rarely"/>
    <x v="0"/>
    <s v="Current Employees"/>
    <x v="1"/>
    <x v="0"/>
    <s v="STAFF-1523"/>
    <n v="1523"/>
    <x v="1"/>
    <x v="7"/>
    <x v="1"/>
    <s v="No"/>
    <s v="Y"/>
    <n v="1"/>
    <n v="-2"/>
    <n v="0"/>
    <n v="44"/>
    <n v="0"/>
    <m/>
    <n v="0"/>
    <n v="1"/>
    <n v="136"/>
    <n v="28"/>
    <x v="3"/>
    <n v="1"/>
    <n v="4"/>
    <n v="32"/>
    <n v="3"/>
    <n v="4"/>
    <n v="3"/>
    <n v="16328"/>
    <n v="22074"/>
    <n v="3"/>
    <n v="13"/>
    <x v="0"/>
    <n v="3"/>
    <n v="80"/>
    <n v="1"/>
    <n v="24"/>
    <n v="4"/>
    <n v="20"/>
    <n v="6"/>
    <n v="14"/>
    <n v="17"/>
  </r>
  <r>
    <s v="No"/>
    <s v="Travel_Rarely"/>
    <x v="0"/>
    <s v="Current Employees"/>
    <x v="1"/>
    <x v="0"/>
    <s v="STAFF-1728"/>
    <n v="1728"/>
    <x v="1"/>
    <x v="3"/>
    <x v="1"/>
    <s v="No"/>
    <s v="Y"/>
    <n v="3"/>
    <n v="-2"/>
    <n v="0"/>
    <n v="35"/>
    <n v="0"/>
    <m/>
    <n v="0"/>
    <n v="1"/>
    <n v="1370"/>
    <n v="27"/>
    <x v="2"/>
    <n v="1"/>
    <n v="4"/>
    <n v="49"/>
    <n v="3"/>
    <n v="2"/>
    <n v="3"/>
    <n v="6883"/>
    <n v="5151"/>
    <n v="2"/>
    <n v="16"/>
    <x v="0"/>
    <n v="2"/>
    <n v="80"/>
    <n v="1"/>
    <n v="17"/>
    <n v="3"/>
    <n v="7"/>
    <n v="7"/>
    <n v="0"/>
    <n v="7"/>
  </r>
  <r>
    <s v="No"/>
    <s v="Travel_Rarely"/>
    <x v="2"/>
    <s v="Current Employees"/>
    <x v="1"/>
    <x v="0"/>
    <s v="STAFF-1798"/>
    <n v="1798"/>
    <x v="1"/>
    <x v="1"/>
    <x v="1"/>
    <s v="No"/>
    <s v="Y"/>
    <n v="1"/>
    <n v="-2"/>
    <n v="0"/>
    <n v="33"/>
    <n v="0"/>
    <m/>
    <n v="0"/>
    <n v="1"/>
    <n v="867"/>
    <n v="8"/>
    <x v="2"/>
    <n v="1"/>
    <n v="4"/>
    <n v="90"/>
    <n v="4"/>
    <n v="1"/>
    <n v="3"/>
    <n v="3143"/>
    <n v="6076"/>
    <n v="6"/>
    <n v="19"/>
    <x v="0"/>
    <n v="2"/>
    <n v="80"/>
    <n v="1"/>
    <n v="14"/>
    <n v="3"/>
    <n v="10"/>
    <n v="8"/>
    <n v="7"/>
    <n v="6"/>
  </r>
  <r>
    <s v="No"/>
    <s v="Travel_Rarely"/>
    <x v="4"/>
    <s v="Current Employees"/>
    <x v="1"/>
    <x v="4"/>
    <s v="STAFF-1592"/>
    <n v="1592"/>
    <x v="1"/>
    <x v="1"/>
    <x v="1"/>
    <s v="No"/>
    <s v="Y"/>
    <n v="2"/>
    <n v="-2"/>
    <n v="0"/>
    <n v="23"/>
    <n v="0"/>
    <m/>
    <n v="0"/>
    <n v="1"/>
    <n v="977"/>
    <n v="10"/>
    <x v="3"/>
    <n v="1"/>
    <n v="4"/>
    <n v="45"/>
    <n v="4"/>
    <n v="1"/>
    <n v="4"/>
    <n v="2073"/>
    <n v="12826"/>
    <n v="2"/>
    <n v="16"/>
    <x v="0"/>
    <n v="4"/>
    <n v="80"/>
    <n v="1"/>
    <n v="4"/>
    <n v="3"/>
    <n v="2"/>
    <n v="2"/>
    <n v="2"/>
    <n v="2"/>
  </r>
  <r>
    <s v="No"/>
    <s v="Travel_Rarely"/>
    <x v="0"/>
    <s v="Current Employees"/>
    <x v="1"/>
    <x v="0"/>
    <s v="STAFF-1682"/>
    <n v="1682"/>
    <x v="1"/>
    <x v="4"/>
    <x v="1"/>
    <s v="No"/>
    <s v="Y"/>
    <n v="2"/>
    <n v="-2"/>
    <n v="0"/>
    <n v="36"/>
    <n v="0"/>
    <m/>
    <n v="0"/>
    <n v="1"/>
    <n v="1351"/>
    <n v="26"/>
    <x v="2"/>
    <n v="1"/>
    <n v="1"/>
    <n v="80"/>
    <n v="3"/>
    <n v="2"/>
    <n v="3"/>
    <n v="5347"/>
    <n v="7419"/>
    <n v="6"/>
    <n v="14"/>
    <x v="0"/>
    <n v="2"/>
    <n v="80"/>
    <n v="2"/>
    <n v="10"/>
    <n v="2"/>
    <n v="3"/>
    <n v="2"/>
    <n v="0"/>
    <n v="2"/>
  </r>
  <r>
    <s v="No"/>
    <s v="Travel_Rarely"/>
    <x v="0"/>
    <s v="Current Employees"/>
    <x v="1"/>
    <x v="0"/>
    <s v="STAFF-2012"/>
    <n v="2012"/>
    <x v="1"/>
    <x v="2"/>
    <x v="1"/>
    <s v="No"/>
    <s v="Y"/>
    <n v="3"/>
    <n v="-2"/>
    <n v="0"/>
    <n v="40"/>
    <n v="0"/>
    <m/>
    <n v="0"/>
    <n v="1"/>
    <n v="543"/>
    <n v="1"/>
    <x v="2"/>
    <n v="1"/>
    <n v="1"/>
    <n v="83"/>
    <n v="3"/>
    <n v="1"/>
    <n v="4"/>
    <n v="2406"/>
    <n v="4060"/>
    <n v="8"/>
    <n v="19"/>
    <x v="0"/>
    <n v="3"/>
    <n v="80"/>
    <n v="2"/>
    <n v="8"/>
    <n v="2"/>
    <n v="1"/>
    <n v="0"/>
    <n v="0"/>
    <n v="0"/>
  </r>
  <r>
    <s v="No"/>
    <s v="Travel_Rarely"/>
    <x v="0"/>
    <s v="Current Employees"/>
    <x v="1"/>
    <x v="2"/>
    <s v="STAFF-1803"/>
    <n v="1803"/>
    <x v="1"/>
    <x v="4"/>
    <x v="1"/>
    <s v="No"/>
    <s v="Y"/>
    <n v="2"/>
    <n v="-2"/>
    <n v="0"/>
    <n v="42"/>
    <n v="0"/>
    <m/>
    <n v="0"/>
    <n v="1"/>
    <n v="1128"/>
    <n v="13"/>
    <x v="3"/>
    <n v="1"/>
    <n v="2"/>
    <n v="95"/>
    <n v="4"/>
    <n v="2"/>
    <n v="3"/>
    <n v="5538"/>
    <n v="5696"/>
    <n v="5"/>
    <n v="18"/>
    <x v="0"/>
    <n v="3"/>
    <n v="80"/>
    <n v="2"/>
    <n v="10"/>
    <n v="2"/>
    <n v="0"/>
    <n v="0"/>
    <n v="0"/>
    <n v="0"/>
  </r>
  <r>
    <s v="No"/>
    <s v="Travel_Rarely"/>
    <x v="0"/>
    <s v="Current Employees"/>
    <x v="1"/>
    <x v="0"/>
    <s v="STAFF-1596"/>
    <n v="1596"/>
    <x v="1"/>
    <x v="2"/>
    <x v="1"/>
    <s v="No"/>
    <s v="Y"/>
    <n v="3"/>
    <n v="-2"/>
    <n v="0"/>
    <n v="35"/>
    <n v="0"/>
    <m/>
    <n v="0"/>
    <n v="1"/>
    <n v="750"/>
    <n v="28"/>
    <x v="3"/>
    <n v="1"/>
    <n v="2"/>
    <n v="46"/>
    <n v="4"/>
    <n v="2"/>
    <n v="3"/>
    <n v="3407"/>
    <n v="25348"/>
    <n v="1"/>
    <n v="17"/>
    <x v="0"/>
    <n v="4"/>
    <n v="80"/>
    <n v="2"/>
    <n v="10"/>
    <n v="2"/>
    <n v="10"/>
    <n v="9"/>
    <n v="6"/>
    <n v="8"/>
  </r>
  <r>
    <s v="No"/>
    <s v="Travel_Rarely"/>
    <x v="2"/>
    <s v="Current Employees"/>
    <x v="1"/>
    <x v="0"/>
    <s v="STAFF-1514"/>
    <n v="1514"/>
    <x v="1"/>
    <x v="3"/>
    <x v="1"/>
    <s v="No"/>
    <s v="Y"/>
    <n v="2"/>
    <n v="-2"/>
    <n v="0"/>
    <n v="28"/>
    <n v="0"/>
    <m/>
    <n v="0"/>
    <n v="1"/>
    <n v="1083"/>
    <n v="29"/>
    <x v="1"/>
    <n v="1"/>
    <n v="3"/>
    <n v="96"/>
    <n v="1"/>
    <n v="2"/>
    <n v="2"/>
    <n v="6549"/>
    <n v="3173"/>
    <n v="1"/>
    <n v="14"/>
    <x v="0"/>
    <n v="2"/>
    <n v="80"/>
    <n v="2"/>
    <n v="8"/>
    <n v="2"/>
    <n v="8"/>
    <n v="6"/>
    <n v="1"/>
    <n v="7"/>
  </r>
  <r>
    <s v="No"/>
    <s v="Travel_Rarely"/>
    <x v="2"/>
    <s v="Current Employees"/>
    <x v="1"/>
    <x v="0"/>
    <s v="STAFF-1558"/>
    <n v="1558"/>
    <x v="1"/>
    <x v="1"/>
    <x v="1"/>
    <s v="No"/>
    <s v="Y"/>
    <n v="2"/>
    <n v="-2"/>
    <n v="0"/>
    <n v="29"/>
    <n v="0"/>
    <m/>
    <n v="0"/>
    <n v="1"/>
    <n v="598"/>
    <n v="9"/>
    <x v="3"/>
    <n v="1"/>
    <n v="3"/>
    <n v="91"/>
    <n v="4"/>
    <n v="1"/>
    <n v="3"/>
    <n v="2451"/>
    <n v="22376"/>
    <n v="6"/>
    <n v="18"/>
    <x v="0"/>
    <n v="1"/>
    <n v="80"/>
    <n v="2"/>
    <n v="5"/>
    <n v="2"/>
    <n v="1"/>
    <n v="0"/>
    <n v="0"/>
    <n v="0"/>
  </r>
  <r>
    <s v="No"/>
    <s v="Travel_Rarely"/>
    <x v="0"/>
    <s v="Current Employees"/>
    <x v="1"/>
    <x v="2"/>
    <s v="STAFF-1618"/>
    <n v="1618"/>
    <x v="1"/>
    <x v="3"/>
    <x v="1"/>
    <s v="No"/>
    <s v="Y"/>
    <n v="3"/>
    <n v="-2"/>
    <n v="0"/>
    <n v="39"/>
    <n v="0"/>
    <m/>
    <n v="0"/>
    <n v="1"/>
    <n v="1387"/>
    <n v="10"/>
    <x v="4"/>
    <n v="1"/>
    <n v="2"/>
    <n v="76"/>
    <n v="3"/>
    <n v="2"/>
    <n v="1"/>
    <n v="5377"/>
    <n v="3835"/>
    <n v="2"/>
    <n v="13"/>
    <x v="0"/>
    <n v="4"/>
    <n v="80"/>
    <n v="3"/>
    <n v="10"/>
    <n v="3"/>
    <n v="7"/>
    <n v="7"/>
    <n v="7"/>
    <n v="7"/>
  </r>
  <r>
    <s v="No"/>
    <s v="Travel_Rarely"/>
    <x v="2"/>
    <s v="Current Employees"/>
    <x v="1"/>
    <x v="2"/>
    <s v="STAFF-1698"/>
    <n v="1698"/>
    <x v="1"/>
    <x v="2"/>
    <x v="1"/>
    <s v="No"/>
    <s v="Y"/>
    <n v="6"/>
    <n v="-2"/>
    <n v="0"/>
    <n v="33"/>
    <n v="0"/>
    <m/>
    <n v="0"/>
    <n v="1"/>
    <n v="267"/>
    <n v="21"/>
    <x v="3"/>
    <n v="1"/>
    <n v="2"/>
    <n v="79"/>
    <n v="4"/>
    <n v="1"/>
    <n v="2"/>
    <n v="2028"/>
    <n v="13637"/>
    <n v="1"/>
    <n v="18"/>
    <x v="0"/>
    <n v="4"/>
    <n v="80"/>
    <n v="3"/>
    <n v="14"/>
    <n v="3"/>
    <n v="14"/>
    <n v="11"/>
    <n v="2"/>
    <n v="13"/>
  </r>
  <r>
    <s v="No"/>
    <s v="Travel_Rarely"/>
    <x v="3"/>
    <s v="Current Employees"/>
    <x v="1"/>
    <x v="2"/>
    <s v="STAFF-1770"/>
    <n v="1770"/>
    <x v="1"/>
    <x v="7"/>
    <x v="1"/>
    <s v="No"/>
    <s v="Y"/>
    <n v="2"/>
    <n v="-2"/>
    <n v="0"/>
    <n v="55"/>
    <n v="0"/>
    <m/>
    <n v="0"/>
    <n v="1"/>
    <n v="478"/>
    <n v="2"/>
    <x v="3"/>
    <n v="1"/>
    <n v="3"/>
    <n v="60"/>
    <n v="2"/>
    <n v="5"/>
    <n v="1"/>
    <n v="19038"/>
    <n v="19805"/>
    <n v="8"/>
    <n v="12"/>
    <x v="0"/>
    <n v="2"/>
    <n v="80"/>
    <n v="3"/>
    <n v="34"/>
    <n v="3"/>
    <n v="1"/>
    <n v="0"/>
    <n v="0"/>
    <n v="0"/>
  </r>
  <r>
    <s v="No"/>
    <s v="Travel_Rarely"/>
    <x v="0"/>
    <s v="Current Employees"/>
    <x v="1"/>
    <x v="0"/>
    <s v="STAFF-1631"/>
    <n v="1631"/>
    <x v="1"/>
    <x v="3"/>
    <x v="1"/>
    <s v="No"/>
    <s v="Y"/>
    <n v="2"/>
    <n v="-2"/>
    <n v="0"/>
    <n v="37"/>
    <n v="0"/>
    <m/>
    <n v="0"/>
    <n v="1"/>
    <n v="671"/>
    <n v="19"/>
    <x v="3"/>
    <n v="1"/>
    <n v="3"/>
    <n v="85"/>
    <n v="3"/>
    <n v="2"/>
    <n v="3"/>
    <n v="5768"/>
    <n v="26493"/>
    <n v="3"/>
    <n v="17"/>
    <x v="0"/>
    <n v="1"/>
    <n v="80"/>
    <n v="3"/>
    <n v="9"/>
    <n v="2"/>
    <n v="4"/>
    <n v="3"/>
    <n v="0"/>
    <n v="2"/>
  </r>
  <r>
    <s v="No"/>
    <s v="Travel_Rarely"/>
    <x v="2"/>
    <s v="Current Employees"/>
    <x v="1"/>
    <x v="2"/>
    <s v="STAFF-1718"/>
    <n v="1718"/>
    <x v="1"/>
    <x v="2"/>
    <x v="1"/>
    <s v="No"/>
    <s v="Y"/>
    <n v="3"/>
    <n v="-2"/>
    <n v="0"/>
    <n v="26"/>
    <n v="0"/>
    <m/>
    <n v="0"/>
    <n v="1"/>
    <n v="390"/>
    <n v="17"/>
    <x v="2"/>
    <n v="1"/>
    <n v="4"/>
    <n v="62"/>
    <n v="1"/>
    <n v="1"/>
    <n v="3"/>
    <n v="2305"/>
    <n v="6217"/>
    <n v="1"/>
    <n v="15"/>
    <x v="0"/>
    <n v="3"/>
    <n v="80"/>
    <n v="3"/>
    <n v="3"/>
    <n v="4"/>
    <n v="3"/>
    <n v="2"/>
    <n v="0"/>
    <n v="2"/>
  </r>
  <r>
    <s v="No"/>
    <s v="Travel_Rarely"/>
    <x v="0"/>
    <s v="Current Employees"/>
    <x v="1"/>
    <x v="0"/>
    <s v="STAFF-1435"/>
    <n v="1435"/>
    <x v="1"/>
    <x v="2"/>
    <x v="0"/>
    <s v="No"/>
    <s v="Y"/>
    <n v="2"/>
    <n v="-2"/>
    <n v="0"/>
    <n v="36"/>
    <n v="0"/>
    <m/>
    <n v="0"/>
    <n v="1"/>
    <n v="172"/>
    <n v="4"/>
    <x v="2"/>
    <n v="1"/>
    <n v="1"/>
    <n v="37"/>
    <n v="2"/>
    <n v="2"/>
    <n v="4"/>
    <n v="5810"/>
    <n v="22604"/>
    <n v="1"/>
    <n v="16"/>
    <x v="0"/>
    <n v="3"/>
    <n v="80"/>
    <n v="0"/>
    <n v="10"/>
    <n v="2"/>
    <n v="10"/>
    <n v="4"/>
    <n v="1"/>
    <n v="8"/>
  </r>
  <r>
    <s v="No"/>
    <s v="Travel_Rarely"/>
    <x v="0"/>
    <s v="Current Employees"/>
    <x v="1"/>
    <x v="0"/>
    <s v="STAFF-1659"/>
    <n v="1659"/>
    <x v="1"/>
    <x v="2"/>
    <x v="0"/>
    <s v="No"/>
    <s v="Y"/>
    <n v="4"/>
    <n v="-2"/>
    <n v="0"/>
    <n v="36"/>
    <n v="0"/>
    <m/>
    <n v="0"/>
    <n v="1"/>
    <n v="311"/>
    <n v="7"/>
    <x v="3"/>
    <n v="1"/>
    <n v="1"/>
    <n v="77"/>
    <n v="3"/>
    <n v="1"/>
    <n v="2"/>
    <n v="2013"/>
    <n v="10950"/>
    <n v="2"/>
    <n v="11"/>
    <x v="0"/>
    <n v="3"/>
    <n v="80"/>
    <n v="0"/>
    <n v="15"/>
    <n v="3"/>
    <n v="4"/>
    <n v="3"/>
    <n v="1"/>
    <n v="3"/>
  </r>
  <r>
    <s v="No"/>
    <s v="Travel_Rarely"/>
    <x v="4"/>
    <s v="Current Employees"/>
    <x v="1"/>
    <x v="0"/>
    <s v="STAFF-1533"/>
    <n v="1533"/>
    <x v="1"/>
    <x v="2"/>
    <x v="0"/>
    <s v="No"/>
    <s v="Y"/>
    <n v="2"/>
    <n v="-2"/>
    <n v="0"/>
    <n v="23"/>
    <n v="0"/>
    <m/>
    <n v="0"/>
    <n v="1"/>
    <n v="507"/>
    <n v="20"/>
    <x v="1"/>
    <n v="1"/>
    <n v="1"/>
    <n v="97"/>
    <n v="3"/>
    <n v="2"/>
    <n v="3"/>
    <n v="2272"/>
    <n v="24812"/>
    <n v="0"/>
    <n v="14"/>
    <x v="0"/>
    <n v="2"/>
    <n v="80"/>
    <n v="0"/>
    <n v="5"/>
    <n v="3"/>
    <n v="4"/>
    <n v="3"/>
    <n v="1"/>
    <n v="2"/>
  </r>
  <r>
    <s v="No"/>
    <s v="Travel_Rarely"/>
    <x v="2"/>
    <s v="Current Employees"/>
    <x v="1"/>
    <x v="2"/>
    <s v="STAFF-1577"/>
    <n v="1577"/>
    <x v="1"/>
    <x v="1"/>
    <x v="0"/>
    <s v="No"/>
    <s v="Y"/>
    <n v="4"/>
    <n v="-2"/>
    <n v="0"/>
    <n v="34"/>
    <n v="0"/>
    <m/>
    <n v="0"/>
    <n v="1"/>
    <n v="479"/>
    <n v="7"/>
    <x v="2"/>
    <n v="1"/>
    <n v="1"/>
    <n v="35"/>
    <n v="3"/>
    <n v="1"/>
    <n v="4"/>
    <n v="2972"/>
    <n v="22061"/>
    <n v="1"/>
    <n v="13"/>
    <x v="0"/>
    <n v="3"/>
    <n v="80"/>
    <n v="0"/>
    <n v="1"/>
    <n v="1"/>
    <n v="1"/>
    <n v="0"/>
    <n v="0"/>
    <n v="0"/>
  </r>
  <r>
    <s v="No"/>
    <s v="Travel_Rarely"/>
    <x v="0"/>
    <s v="Current Employees"/>
    <x v="1"/>
    <x v="0"/>
    <s v="STAFF-2014"/>
    <n v="2014"/>
    <x v="1"/>
    <x v="1"/>
    <x v="0"/>
    <s v="No"/>
    <s v="Y"/>
    <n v="2"/>
    <n v="-2"/>
    <n v="0"/>
    <n v="39"/>
    <n v="0"/>
    <m/>
    <n v="0"/>
    <n v="1"/>
    <n v="116"/>
    <n v="24"/>
    <x v="1"/>
    <n v="1"/>
    <n v="1"/>
    <n v="52"/>
    <n v="3"/>
    <n v="2"/>
    <n v="4"/>
    <n v="4108"/>
    <n v="5340"/>
    <n v="7"/>
    <n v="13"/>
    <x v="0"/>
    <n v="1"/>
    <n v="80"/>
    <n v="0"/>
    <n v="18"/>
    <n v="3"/>
    <n v="7"/>
    <n v="7"/>
    <n v="1"/>
    <n v="7"/>
  </r>
  <r>
    <s v="No"/>
    <s v="Travel_Rarely"/>
    <x v="4"/>
    <s v="Current Employees"/>
    <x v="1"/>
    <x v="0"/>
    <s v="STAFF-1981"/>
    <n v="1981"/>
    <x v="1"/>
    <x v="4"/>
    <x v="0"/>
    <s v="No"/>
    <s v="Y"/>
    <n v="2"/>
    <n v="-2"/>
    <n v="0"/>
    <n v="24"/>
    <n v="0"/>
    <m/>
    <n v="0"/>
    <n v="1"/>
    <n v="771"/>
    <n v="1"/>
    <x v="0"/>
    <n v="1"/>
    <n v="2"/>
    <n v="45"/>
    <n v="2"/>
    <n v="2"/>
    <n v="3"/>
    <n v="4617"/>
    <n v="14120"/>
    <n v="1"/>
    <n v="12"/>
    <x v="0"/>
    <n v="2"/>
    <n v="80"/>
    <n v="0"/>
    <n v="4"/>
    <n v="2"/>
    <n v="4"/>
    <n v="3"/>
    <n v="1"/>
    <n v="2"/>
  </r>
  <r>
    <s v="No"/>
    <s v="Travel_Rarely"/>
    <x v="0"/>
    <s v="Current Employees"/>
    <x v="1"/>
    <x v="2"/>
    <s v="STAFF-2008"/>
    <n v="2008"/>
    <x v="1"/>
    <x v="1"/>
    <x v="0"/>
    <s v="No"/>
    <s v="Y"/>
    <n v="5"/>
    <n v="-2"/>
    <n v="0"/>
    <n v="35"/>
    <n v="0"/>
    <m/>
    <n v="0"/>
    <n v="1"/>
    <n v="1395"/>
    <n v="9"/>
    <x v="2"/>
    <n v="1"/>
    <n v="2"/>
    <n v="48"/>
    <n v="3"/>
    <n v="2"/>
    <n v="3"/>
    <n v="5098"/>
    <n v="18698"/>
    <n v="1"/>
    <n v="19"/>
    <x v="0"/>
    <n v="2"/>
    <n v="80"/>
    <n v="0"/>
    <n v="10"/>
    <n v="3"/>
    <n v="10"/>
    <n v="7"/>
    <n v="0"/>
    <n v="8"/>
  </r>
  <r>
    <s v="No"/>
    <s v="Travel_Rarely"/>
    <x v="0"/>
    <s v="Current Employees"/>
    <x v="1"/>
    <x v="0"/>
    <s v="STAFF-1814"/>
    <n v="1814"/>
    <x v="1"/>
    <x v="4"/>
    <x v="0"/>
    <s v="No"/>
    <s v="Y"/>
    <n v="3"/>
    <n v="-2"/>
    <n v="0"/>
    <n v="41"/>
    <n v="0"/>
    <m/>
    <n v="0"/>
    <n v="1"/>
    <n v="447"/>
    <n v="5"/>
    <x v="3"/>
    <n v="1"/>
    <n v="2"/>
    <n v="85"/>
    <n v="4"/>
    <n v="2"/>
    <n v="2"/>
    <n v="6870"/>
    <n v="15530"/>
    <n v="3"/>
    <n v="12"/>
    <x v="0"/>
    <n v="1"/>
    <n v="80"/>
    <n v="0"/>
    <n v="11"/>
    <n v="1"/>
    <n v="3"/>
    <n v="2"/>
    <n v="1"/>
    <n v="2"/>
  </r>
  <r>
    <s v="No"/>
    <s v="Travel_Rarely"/>
    <x v="0"/>
    <s v="Current Employees"/>
    <x v="1"/>
    <x v="0"/>
    <s v="STAFF-2048"/>
    <n v="2048"/>
    <x v="1"/>
    <x v="1"/>
    <x v="0"/>
    <s v="No"/>
    <s v="Y"/>
    <n v="2"/>
    <n v="-2"/>
    <n v="0"/>
    <n v="40"/>
    <n v="0"/>
    <m/>
    <n v="0"/>
    <n v="1"/>
    <n v="1322"/>
    <n v="2"/>
    <x v="2"/>
    <n v="1"/>
    <n v="3"/>
    <n v="52"/>
    <n v="2"/>
    <n v="1"/>
    <n v="3"/>
    <n v="2809"/>
    <n v="2725"/>
    <n v="2"/>
    <n v="14"/>
    <x v="0"/>
    <n v="4"/>
    <n v="80"/>
    <n v="0"/>
    <n v="8"/>
    <n v="3"/>
    <n v="2"/>
    <n v="2"/>
    <n v="2"/>
    <n v="2"/>
  </r>
  <r>
    <s v="No"/>
    <s v="Travel_Rarely"/>
    <x v="2"/>
    <s v="Current Employees"/>
    <x v="1"/>
    <x v="2"/>
    <s v="STAFF-1952"/>
    <n v="1952"/>
    <x v="1"/>
    <x v="2"/>
    <x v="0"/>
    <s v="No"/>
    <s v="Y"/>
    <n v="6"/>
    <n v="-2"/>
    <n v="0"/>
    <n v="26"/>
    <n v="0"/>
    <m/>
    <n v="0"/>
    <n v="1"/>
    <n v="157"/>
    <n v="1"/>
    <x v="3"/>
    <n v="1"/>
    <n v="3"/>
    <n v="95"/>
    <n v="3"/>
    <n v="1"/>
    <n v="1"/>
    <n v="2867"/>
    <n v="20006"/>
    <n v="0"/>
    <n v="13"/>
    <x v="0"/>
    <n v="4"/>
    <n v="80"/>
    <n v="0"/>
    <n v="8"/>
    <n v="2"/>
    <n v="7"/>
    <n v="7"/>
    <n v="7"/>
    <n v="6"/>
  </r>
  <r>
    <s v="No"/>
    <s v="Travel_Rarely"/>
    <x v="1"/>
    <s v="Current Employees"/>
    <x v="1"/>
    <x v="0"/>
    <s v="STAFF-1727"/>
    <n v="1727"/>
    <x v="1"/>
    <x v="4"/>
    <x v="0"/>
    <s v="No"/>
    <s v="Y"/>
    <n v="3"/>
    <n v="-2"/>
    <n v="0"/>
    <n v="46"/>
    <n v="0"/>
    <m/>
    <n v="0"/>
    <n v="1"/>
    <n v="717"/>
    <n v="13"/>
    <x v="2"/>
    <n v="1"/>
    <n v="3"/>
    <n v="34"/>
    <n v="3"/>
    <n v="2"/>
    <n v="2"/>
    <n v="5562"/>
    <n v="9697"/>
    <n v="6"/>
    <n v="14"/>
    <x v="0"/>
    <n v="4"/>
    <n v="80"/>
    <n v="0"/>
    <n v="19"/>
    <n v="3"/>
    <n v="10"/>
    <n v="7"/>
    <n v="0"/>
    <n v="9"/>
  </r>
  <r>
    <s v="No"/>
    <s v="Travel_Rarely"/>
    <x v="1"/>
    <s v="Current Employees"/>
    <x v="1"/>
    <x v="0"/>
    <s v="STAFF-1677"/>
    <n v="1677"/>
    <x v="1"/>
    <x v="5"/>
    <x v="0"/>
    <s v="No"/>
    <s v="Y"/>
    <n v="2"/>
    <n v="-2"/>
    <n v="0"/>
    <n v="49"/>
    <n v="0"/>
    <m/>
    <n v="0"/>
    <n v="1"/>
    <n v="809"/>
    <n v="1"/>
    <x v="3"/>
    <n v="1"/>
    <n v="3"/>
    <n v="36"/>
    <n v="3"/>
    <n v="4"/>
    <n v="3"/>
    <n v="15379"/>
    <n v="22384"/>
    <n v="4"/>
    <n v="14"/>
    <x v="0"/>
    <n v="1"/>
    <n v="80"/>
    <n v="0"/>
    <n v="23"/>
    <n v="3"/>
    <n v="8"/>
    <n v="7"/>
    <n v="0"/>
    <n v="0"/>
  </r>
  <r>
    <s v="No"/>
    <s v="Travel_Rarely"/>
    <x v="4"/>
    <s v="Current Employees"/>
    <x v="1"/>
    <x v="2"/>
    <s v="STAFF-1623"/>
    <n v="1623"/>
    <x v="1"/>
    <x v="1"/>
    <x v="0"/>
    <s v="No"/>
    <s v="Y"/>
    <n v="2"/>
    <n v="-2"/>
    <n v="0"/>
    <n v="21"/>
    <n v="0"/>
    <m/>
    <n v="0"/>
    <n v="1"/>
    <n v="546"/>
    <n v="5"/>
    <x v="1"/>
    <n v="1"/>
    <n v="3"/>
    <n v="97"/>
    <n v="3"/>
    <n v="1"/>
    <n v="4"/>
    <n v="3117"/>
    <n v="26009"/>
    <n v="1"/>
    <n v="18"/>
    <x v="0"/>
    <n v="3"/>
    <n v="80"/>
    <n v="0"/>
    <n v="3"/>
    <n v="3"/>
    <n v="2"/>
    <n v="2"/>
    <n v="2"/>
    <n v="2"/>
  </r>
  <r>
    <s v="No"/>
    <s v="Travel_Rarely"/>
    <x v="2"/>
    <s v="Current Employees"/>
    <x v="1"/>
    <x v="1"/>
    <s v="STAFF-1417"/>
    <n v="1417"/>
    <x v="1"/>
    <x v="2"/>
    <x v="0"/>
    <s v="No"/>
    <s v="Y"/>
    <n v="2"/>
    <n v="-2"/>
    <n v="0"/>
    <n v="26"/>
    <n v="0"/>
    <m/>
    <n v="0"/>
    <n v="1"/>
    <n v="652"/>
    <n v="7"/>
    <x v="3"/>
    <n v="1"/>
    <n v="3"/>
    <n v="100"/>
    <n v="4"/>
    <n v="1"/>
    <n v="1"/>
    <n v="3578"/>
    <n v="23577"/>
    <n v="0"/>
    <n v="12"/>
    <x v="0"/>
    <n v="4"/>
    <n v="80"/>
    <n v="0"/>
    <n v="8"/>
    <n v="3"/>
    <n v="7"/>
    <n v="7"/>
    <n v="0"/>
    <n v="7"/>
  </r>
  <r>
    <s v="No"/>
    <s v="Travel_Rarely"/>
    <x v="0"/>
    <s v="Current Employees"/>
    <x v="1"/>
    <x v="2"/>
    <s v="STAFF-1564"/>
    <n v="1564"/>
    <x v="1"/>
    <x v="2"/>
    <x v="0"/>
    <s v="No"/>
    <s v="Y"/>
    <n v="3"/>
    <n v="-2"/>
    <n v="0"/>
    <n v="35"/>
    <n v="0"/>
    <m/>
    <n v="0"/>
    <n v="1"/>
    <n v="992"/>
    <n v="1"/>
    <x v="3"/>
    <n v="1"/>
    <n v="4"/>
    <n v="68"/>
    <n v="2"/>
    <n v="1"/>
    <n v="1"/>
    <n v="2450"/>
    <n v="21731"/>
    <n v="1"/>
    <n v="19"/>
    <x v="0"/>
    <n v="2"/>
    <n v="80"/>
    <n v="0"/>
    <n v="3"/>
    <n v="3"/>
    <n v="3"/>
    <n v="0"/>
    <n v="1"/>
    <n v="2"/>
  </r>
  <r>
    <s v="No"/>
    <s v="Travel_Rarely"/>
    <x v="2"/>
    <s v="Current Employees"/>
    <x v="1"/>
    <x v="0"/>
    <s v="STAFF-1545"/>
    <n v="1545"/>
    <x v="1"/>
    <x v="3"/>
    <x v="0"/>
    <s v="No"/>
    <s v="Y"/>
    <n v="2"/>
    <n v="-2"/>
    <n v="0"/>
    <n v="33"/>
    <n v="0"/>
    <m/>
    <n v="0"/>
    <n v="1"/>
    <n v="575"/>
    <n v="25"/>
    <x v="3"/>
    <n v="1"/>
    <n v="4"/>
    <n v="44"/>
    <n v="2"/>
    <n v="2"/>
    <n v="2"/>
    <n v="4320"/>
    <n v="24152"/>
    <n v="1"/>
    <n v="13"/>
    <x v="0"/>
    <n v="4"/>
    <n v="80"/>
    <n v="0"/>
    <n v="5"/>
    <n v="3"/>
    <n v="5"/>
    <n v="3"/>
    <n v="0"/>
    <n v="2"/>
  </r>
  <r>
    <s v="No"/>
    <s v="Travel_Rarely"/>
    <x v="2"/>
    <s v="Current Employees"/>
    <x v="1"/>
    <x v="0"/>
    <s v="STAFF-1883"/>
    <n v="1883"/>
    <x v="1"/>
    <x v="2"/>
    <x v="0"/>
    <s v="No"/>
    <s v="Y"/>
    <n v="2"/>
    <n v="-2"/>
    <n v="0"/>
    <n v="29"/>
    <n v="0"/>
    <m/>
    <n v="0"/>
    <n v="1"/>
    <n v="592"/>
    <n v="7"/>
    <x v="3"/>
    <n v="1"/>
    <n v="4"/>
    <n v="59"/>
    <n v="3"/>
    <n v="1"/>
    <n v="1"/>
    <n v="2062"/>
    <n v="19384"/>
    <n v="3"/>
    <n v="14"/>
    <x v="0"/>
    <n v="2"/>
    <n v="80"/>
    <n v="0"/>
    <n v="11"/>
    <n v="3"/>
    <n v="3"/>
    <n v="2"/>
    <n v="1"/>
    <n v="2"/>
  </r>
  <r>
    <s v="No"/>
    <s v="Travel_Rarely"/>
    <x v="2"/>
    <s v="Current Employees"/>
    <x v="1"/>
    <x v="4"/>
    <s v="STAFF-2038"/>
    <n v="2038"/>
    <x v="1"/>
    <x v="1"/>
    <x v="0"/>
    <s v="No"/>
    <s v="Y"/>
    <n v="4"/>
    <n v="-2"/>
    <n v="0"/>
    <n v="32"/>
    <n v="0"/>
    <m/>
    <n v="0"/>
    <n v="1"/>
    <n v="529"/>
    <n v="2"/>
    <x v="3"/>
    <n v="1"/>
    <n v="4"/>
    <n v="78"/>
    <n v="3"/>
    <n v="1"/>
    <n v="4"/>
    <n v="2439"/>
    <n v="11288"/>
    <n v="1"/>
    <n v="14"/>
    <x v="0"/>
    <n v="4"/>
    <n v="80"/>
    <n v="0"/>
    <n v="4"/>
    <n v="3"/>
    <n v="4"/>
    <n v="2"/>
    <n v="1"/>
    <n v="2"/>
  </r>
  <r>
    <s v="No"/>
    <s v="Travel_Rarely"/>
    <x v="0"/>
    <s v="Current Employees"/>
    <x v="1"/>
    <x v="0"/>
    <s v="STAFF-1475"/>
    <n v="1475"/>
    <x v="1"/>
    <x v="1"/>
    <x v="0"/>
    <s v="No"/>
    <s v="Y"/>
    <n v="3"/>
    <n v="-2"/>
    <n v="0"/>
    <n v="44"/>
    <n v="0"/>
    <m/>
    <n v="0"/>
    <n v="1"/>
    <n v="1467"/>
    <n v="20"/>
    <x v="3"/>
    <n v="1"/>
    <n v="4"/>
    <n v="49"/>
    <n v="3"/>
    <n v="1"/>
    <n v="2"/>
    <n v="3420"/>
    <n v="21158"/>
    <n v="1"/>
    <n v="13"/>
    <x v="0"/>
    <n v="3"/>
    <n v="80"/>
    <n v="0"/>
    <n v="6"/>
    <n v="2"/>
    <n v="5"/>
    <n v="2"/>
    <n v="1"/>
    <n v="3"/>
  </r>
  <r>
    <s v="No"/>
    <s v="Travel_Rarely"/>
    <x v="0"/>
    <s v="Current Employees"/>
    <x v="1"/>
    <x v="0"/>
    <s v="STAFF-1860"/>
    <n v="1860"/>
    <x v="1"/>
    <x v="2"/>
    <x v="0"/>
    <s v="No"/>
    <s v="Y"/>
    <n v="3"/>
    <n v="-2"/>
    <n v="0"/>
    <n v="42"/>
    <n v="0"/>
    <m/>
    <n v="0"/>
    <n v="1"/>
    <n v="1142"/>
    <n v="8"/>
    <x v="3"/>
    <n v="1"/>
    <n v="4"/>
    <n v="81"/>
    <n v="3"/>
    <n v="1"/>
    <n v="3"/>
    <n v="3968"/>
    <n v="13624"/>
    <n v="4"/>
    <n v="13"/>
    <x v="0"/>
    <n v="4"/>
    <n v="80"/>
    <n v="0"/>
    <n v="8"/>
    <n v="3"/>
    <n v="0"/>
    <n v="0"/>
    <n v="0"/>
    <n v="0"/>
  </r>
  <r>
    <s v="No"/>
    <s v="Travel_Rarely"/>
    <x v="4"/>
    <s v="Current Employees"/>
    <x v="1"/>
    <x v="0"/>
    <s v="STAFF-2007"/>
    <n v="2007"/>
    <x v="1"/>
    <x v="1"/>
    <x v="0"/>
    <s v="No"/>
    <s v="Y"/>
    <n v="2"/>
    <n v="-2"/>
    <n v="0"/>
    <n v="22"/>
    <n v="0"/>
    <m/>
    <n v="0"/>
    <n v="1"/>
    <n v="581"/>
    <n v="1"/>
    <x v="0"/>
    <n v="1"/>
    <n v="4"/>
    <n v="63"/>
    <n v="3"/>
    <n v="1"/>
    <n v="3"/>
    <n v="3375"/>
    <n v="17624"/>
    <n v="0"/>
    <n v="12"/>
    <x v="0"/>
    <n v="4"/>
    <n v="80"/>
    <n v="0"/>
    <n v="4"/>
    <n v="4"/>
    <n v="3"/>
    <n v="2"/>
    <n v="1"/>
    <n v="2"/>
  </r>
  <r>
    <s v="No"/>
    <s v="Travel_Rarely"/>
    <x v="4"/>
    <s v="Current Employees"/>
    <x v="1"/>
    <x v="1"/>
    <s v="STAFF-1982"/>
    <n v="1982"/>
    <x v="1"/>
    <x v="2"/>
    <x v="0"/>
    <s v="No"/>
    <s v="Y"/>
    <n v="6"/>
    <n v="-2"/>
    <n v="0"/>
    <n v="23"/>
    <n v="0"/>
    <m/>
    <n v="0"/>
    <n v="1"/>
    <n v="571"/>
    <n v="12"/>
    <x v="0"/>
    <n v="1"/>
    <n v="4"/>
    <n v="78"/>
    <n v="3"/>
    <n v="1"/>
    <n v="4"/>
    <n v="2647"/>
    <n v="13672"/>
    <n v="1"/>
    <n v="13"/>
    <x v="0"/>
    <n v="3"/>
    <n v="80"/>
    <n v="0"/>
    <n v="5"/>
    <n v="4"/>
    <n v="5"/>
    <n v="2"/>
    <n v="1"/>
    <n v="4"/>
  </r>
  <r>
    <s v="No"/>
    <s v="Travel_Rarely"/>
    <x v="1"/>
    <s v="Current Employees"/>
    <x v="1"/>
    <x v="2"/>
    <s v="STAFF-1472"/>
    <n v="1472"/>
    <x v="1"/>
    <x v="7"/>
    <x v="0"/>
    <s v="No"/>
    <s v="Y"/>
    <n v="2"/>
    <n v="-2"/>
    <n v="0"/>
    <n v="53"/>
    <n v="0"/>
    <m/>
    <n v="0"/>
    <n v="1"/>
    <n v="447"/>
    <n v="2"/>
    <x v="3"/>
    <n v="1"/>
    <n v="4"/>
    <n v="39"/>
    <n v="4"/>
    <n v="4"/>
    <n v="2"/>
    <n v="16598"/>
    <n v="19764"/>
    <n v="4"/>
    <n v="12"/>
    <x v="0"/>
    <n v="2"/>
    <n v="80"/>
    <n v="0"/>
    <n v="35"/>
    <n v="2"/>
    <n v="9"/>
    <n v="8"/>
    <n v="8"/>
    <n v="8"/>
  </r>
  <r>
    <s v="No"/>
    <s v="Travel_Rarely"/>
    <x v="2"/>
    <s v="Current Employees"/>
    <x v="0"/>
    <x v="0"/>
    <s v="STAFF-1453"/>
    <n v="1453"/>
    <x v="1"/>
    <x v="0"/>
    <x v="2"/>
    <s v="No"/>
    <s v="Y"/>
    <n v="5"/>
    <n v="-2"/>
    <n v="0"/>
    <n v="31"/>
    <n v="0"/>
    <m/>
    <n v="0"/>
    <n v="1"/>
    <n v="326"/>
    <n v="8"/>
    <x v="0"/>
    <n v="1"/>
    <n v="1"/>
    <n v="31"/>
    <n v="3"/>
    <n v="3"/>
    <n v="4"/>
    <n v="10793"/>
    <n v="8386"/>
    <n v="1"/>
    <n v="18"/>
    <x v="0"/>
    <n v="1"/>
    <n v="80"/>
    <n v="1"/>
    <n v="13"/>
    <n v="3"/>
    <n v="13"/>
    <n v="7"/>
    <n v="9"/>
    <n v="9"/>
  </r>
  <r>
    <s v="No"/>
    <s v="Travel_Rarely"/>
    <x v="2"/>
    <s v="Current Employees"/>
    <x v="0"/>
    <x v="3"/>
    <s v="STAFF-1754"/>
    <n v="1754"/>
    <x v="1"/>
    <x v="0"/>
    <x v="2"/>
    <s v="No"/>
    <s v="Y"/>
    <n v="2"/>
    <n v="-2"/>
    <n v="0"/>
    <n v="30"/>
    <n v="0"/>
    <m/>
    <n v="0"/>
    <n v="1"/>
    <n v="979"/>
    <n v="15"/>
    <x v="0"/>
    <n v="1"/>
    <n v="3"/>
    <n v="94"/>
    <n v="2"/>
    <n v="3"/>
    <n v="2"/>
    <n v="7140"/>
    <n v="3088"/>
    <n v="2"/>
    <n v="11"/>
    <x v="0"/>
    <n v="1"/>
    <n v="80"/>
    <n v="1"/>
    <n v="12"/>
    <n v="3"/>
    <n v="7"/>
    <n v="7"/>
    <n v="1"/>
    <n v="7"/>
  </r>
  <r>
    <s v="No"/>
    <s v="Travel_Rarely"/>
    <x v="0"/>
    <s v="Current Employees"/>
    <x v="0"/>
    <x v="0"/>
    <s v="STAFF-2037"/>
    <n v="2037"/>
    <x v="1"/>
    <x v="0"/>
    <x v="2"/>
    <s v="No"/>
    <s v="Y"/>
    <n v="5"/>
    <n v="-2"/>
    <n v="0"/>
    <n v="41"/>
    <n v="0"/>
    <m/>
    <n v="0"/>
    <n v="1"/>
    <n v="930"/>
    <n v="3"/>
    <x v="3"/>
    <n v="1"/>
    <n v="3"/>
    <n v="57"/>
    <n v="2"/>
    <n v="2"/>
    <n v="2"/>
    <n v="8938"/>
    <n v="12227"/>
    <n v="2"/>
    <n v="11"/>
    <x v="0"/>
    <n v="3"/>
    <n v="80"/>
    <n v="1"/>
    <n v="14"/>
    <n v="3"/>
    <n v="5"/>
    <n v="4"/>
    <n v="0"/>
    <n v="4"/>
  </r>
  <r>
    <s v="No"/>
    <s v="Travel_Rarely"/>
    <x v="2"/>
    <s v="Current Employees"/>
    <x v="0"/>
    <x v="2"/>
    <s v="STAFF-1951"/>
    <n v="1951"/>
    <x v="1"/>
    <x v="0"/>
    <x v="2"/>
    <s v="No"/>
    <s v="Y"/>
    <n v="2"/>
    <n v="-2"/>
    <n v="0"/>
    <n v="34"/>
    <n v="0"/>
    <m/>
    <n v="0"/>
    <n v="1"/>
    <n v="1239"/>
    <n v="13"/>
    <x v="2"/>
    <n v="1"/>
    <n v="4"/>
    <n v="39"/>
    <n v="3"/>
    <n v="3"/>
    <n v="3"/>
    <n v="8628"/>
    <n v="22914"/>
    <n v="1"/>
    <n v="18"/>
    <x v="0"/>
    <n v="3"/>
    <n v="80"/>
    <n v="1"/>
    <n v="9"/>
    <n v="2"/>
    <n v="8"/>
    <n v="7"/>
    <n v="1"/>
    <n v="1"/>
  </r>
  <r>
    <s v="No"/>
    <s v="Travel_Rarely"/>
    <x v="2"/>
    <s v="Current Employees"/>
    <x v="0"/>
    <x v="0"/>
    <s v="STAFF-1497"/>
    <n v="1497"/>
    <x v="1"/>
    <x v="0"/>
    <x v="2"/>
    <s v="No"/>
    <s v="Y"/>
    <n v="3"/>
    <n v="-2"/>
    <n v="0"/>
    <n v="29"/>
    <n v="0"/>
    <m/>
    <n v="0"/>
    <n v="1"/>
    <n v="1246"/>
    <n v="19"/>
    <x v="3"/>
    <n v="1"/>
    <n v="3"/>
    <n v="77"/>
    <n v="2"/>
    <n v="2"/>
    <n v="3"/>
    <n v="8620"/>
    <n v="23757"/>
    <n v="1"/>
    <n v="14"/>
    <x v="0"/>
    <n v="3"/>
    <n v="80"/>
    <n v="2"/>
    <n v="10"/>
    <n v="3"/>
    <n v="10"/>
    <n v="7"/>
    <n v="0"/>
    <n v="4"/>
  </r>
  <r>
    <s v="No"/>
    <s v="Travel_Rarely"/>
    <x v="2"/>
    <s v="Current Employees"/>
    <x v="0"/>
    <x v="2"/>
    <s v="STAFF-1670"/>
    <n v="1670"/>
    <x v="1"/>
    <x v="0"/>
    <x v="2"/>
    <s v="No"/>
    <s v="Y"/>
    <n v="5"/>
    <n v="-2"/>
    <n v="0"/>
    <n v="33"/>
    <n v="0"/>
    <m/>
    <n v="0"/>
    <n v="1"/>
    <n v="392"/>
    <n v="2"/>
    <x v="2"/>
    <n v="1"/>
    <n v="4"/>
    <n v="93"/>
    <n v="3"/>
    <n v="2"/>
    <n v="4"/>
    <n v="5505"/>
    <n v="3921"/>
    <n v="1"/>
    <n v="14"/>
    <x v="0"/>
    <n v="3"/>
    <n v="80"/>
    <n v="2"/>
    <n v="6"/>
    <n v="3"/>
    <n v="6"/>
    <n v="2"/>
    <n v="0"/>
    <n v="4"/>
  </r>
  <r>
    <s v="No"/>
    <s v="Travel_Rarely"/>
    <x v="1"/>
    <s v="Current Employees"/>
    <x v="0"/>
    <x v="3"/>
    <s v="STAFF-1466"/>
    <n v="1466"/>
    <x v="1"/>
    <x v="0"/>
    <x v="2"/>
    <s v="No"/>
    <s v="Y"/>
    <n v="3"/>
    <n v="-2"/>
    <n v="0"/>
    <n v="48"/>
    <n v="0"/>
    <m/>
    <n v="0"/>
    <n v="1"/>
    <n v="1221"/>
    <n v="7"/>
    <x v="3"/>
    <n v="1"/>
    <n v="3"/>
    <n v="96"/>
    <n v="3"/>
    <n v="2"/>
    <n v="2"/>
    <n v="5486"/>
    <n v="24795"/>
    <n v="4"/>
    <n v="11"/>
    <x v="0"/>
    <n v="1"/>
    <n v="80"/>
    <n v="3"/>
    <n v="15"/>
    <n v="3"/>
    <n v="2"/>
    <n v="2"/>
    <n v="2"/>
    <n v="2"/>
  </r>
  <r>
    <s v="No"/>
    <s v="Travel_Rarely"/>
    <x v="0"/>
    <s v="Current Employees"/>
    <x v="0"/>
    <x v="2"/>
    <s v="STAFF-1548"/>
    <n v="1548"/>
    <x v="1"/>
    <x v="0"/>
    <x v="1"/>
    <s v="No"/>
    <s v="Y"/>
    <n v="5"/>
    <n v="-2"/>
    <n v="0"/>
    <n v="40"/>
    <n v="0"/>
    <m/>
    <n v="0"/>
    <n v="1"/>
    <n v="1342"/>
    <n v="9"/>
    <x v="0"/>
    <n v="1"/>
    <n v="1"/>
    <n v="47"/>
    <n v="3"/>
    <n v="2"/>
    <n v="1"/>
    <n v="5473"/>
    <n v="19345"/>
    <n v="0"/>
    <n v="12"/>
    <x v="0"/>
    <n v="4"/>
    <n v="80"/>
    <n v="0"/>
    <n v="9"/>
    <n v="4"/>
    <n v="8"/>
    <n v="4"/>
    <n v="7"/>
    <n v="1"/>
  </r>
  <r>
    <s v="No"/>
    <s v="Travel_Rarely"/>
    <x v="2"/>
    <s v="Current Employees"/>
    <x v="0"/>
    <x v="0"/>
    <s v="STAFF-1560"/>
    <n v="1560"/>
    <x v="1"/>
    <x v="0"/>
    <x v="1"/>
    <s v="No"/>
    <s v="Y"/>
    <n v="6"/>
    <n v="-2"/>
    <n v="0"/>
    <n v="33"/>
    <n v="0"/>
    <m/>
    <n v="0"/>
    <n v="1"/>
    <n v="1242"/>
    <n v="8"/>
    <x v="2"/>
    <n v="1"/>
    <n v="1"/>
    <n v="46"/>
    <n v="3"/>
    <n v="2"/>
    <n v="1"/>
    <n v="6392"/>
    <n v="10589"/>
    <n v="2"/>
    <n v="13"/>
    <x v="0"/>
    <n v="4"/>
    <n v="80"/>
    <n v="1"/>
    <n v="8"/>
    <n v="1"/>
    <n v="2"/>
    <n v="2"/>
    <n v="2"/>
    <n v="2"/>
  </r>
  <r>
    <s v="No"/>
    <s v="Travel_Rarely"/>
    <x v="2"/>
    <s v="Current Employees"/>
    <x v="0"/>
    <x v="0"/>
    <s v="STAFF-1996"/>
    <n v="1996"/>
    <x v="1"/>
    <x v="6"/>
    <x v="1"/>
    <s v="No"/>
    <s v="Y"/>
    <n v="1"/>
    <n v="-2"/>
    <n v="0"/>
    <n v="31"/>
    <n v="0"/>
    <m/>
    <n v="0"/>
    <n v="1"/>
    <n v="1154"/>
    <n v="2"/>
    <x v="0"/>
    <n v="1"/>
    <n v="1"/>
    <n v="54"/>
    <n v="3"/>
    <n v="1"/>
    <n v="3"/>
    <n v="3067"/>
    <n v="6393"/>
    <n v="0"/>
    <n v="19"/>
    <x v="0"/>
    <n v="3"/>
    <n v="80"/>
    <n v="1"/>
    <n v="3"/>
    <n v="3"/>
    <n v="2"/>
    <n v="2"/>
    <n v="1"/>
    <n v="2"/>
  </r>
  <r>
    <s v="No"/>
    <s v="Travel_Rarely"/>
    <x v="2"/>
    <s v="Current Employees"/>
    <x v="0"/>
    <x v="4"/>
    <s v="STAFF-1749"/>
    <n v="1749"/>
    <x v="1"/>
    <x v="0"/>
    <x v="1"/>
    <s v="No"/>
    <s v="Y"/>
    <n v="3"/>
    <n v="-2"/>
    <n v="0"/>
    <n v="31"/>
    <n v="0"/>
    <m/>
    <n v="0"/>
    <n v="1"/>
    <n v="1003"/>
    <n v="5"/>
    <x v="3"/>
    <n v="1"/>
    <n v="4"/>
    <n v="51"/>
    <n v="3"/>
    <n v="2"/>
    <n v="4"/>
    <n v="8346"/>
    <n v="20943"/>
    <n v="1"/>
    <n v="19"/>
    <x v="0"/>
    <n v="3"/>
    <n v="80"/>
    <n v="1"/>
    <n v="6"/>
    <n v="3"/>
    <n v="5"/>
    <n v="2"/>
    <n v="0"/>
    <n v="2"/>
  </r>
  <r>
    <s v="No"/>
    <s v="Travel_Rarely"/>
    <x v="2"/>
    <s v="Current Employees"/>
    <x v="0"/>
    <x v="2"/>
    <s v="STAFF-2013"/>
    <n v="2013"/>
    <x v="1"/>
    <x v="6"/>
    <x v="1"/>
    <s v="No"/>
    <s v="Y"/>
    <n v="2"/>
    <n v="-2"/>
    <n v="0"/>
    <n v="32"/>
    <n v="0"/>
    <m/>
    <n v="0"/>
    <n v="1"/>
    <n v="234"/>
    <n v="1"/>
    <x v="2"/>
    <n v="1"/>
    <n v="2"/>
    <n v="68"/>
    <n v="2"/>
    <n v="1"/>
    <n v="2"/>
    <n v="2269"/>
    <n v="18024"/>
    <n v="0"/>
    <n v="14"/>
    <x v="0"/>
    <n v="2"/>
    <n v="80"/>
    <n v="1"/>
    <n v="3"/>
    <n v="3"/>
    <n v="2"/>
    <n v="2"/>
    <n v="2"/>
    <n v="2"/>
  </r>
  <r>
    <s v="No"/>
    <s v="Travel_Rarely"/>
    <x v="0"/>
    <s v="Current Employees"/>
    <x v="0"/>
    <x v="2"/>
    <s v="STAFF-1945"/>
    <n v="1945"/>
    <x v="1"/>
    <x v="0"/>
    <x v="1"/>
    <s v="No"/>
    <s v="Y"/>
    <n v="2"/>
    <n v="-2"/>
    <n v="0"/>
    <n v="35"/>
    <n v="0"/>
    <m/>
    <n v="0"/>
    <n v="1"/>
    <n v="682"/>
    <n v="18"/>
    <x v="2"/>
    <n v="1"/>
    <n v="2"/>
    <n v="71"/>
    <n v="3"/>
    <n v="2"/>
    <n v="1"/>
    <n v="5561"/>
    <n v="15975"/>
    <n v="0"/>
    <n v="16"/>
    <x v="0"/>
    <n v="4"/>
    <n v="80"/>
    <n v="1"/>
    <n v="6"/>
    <n v="1"/>
    <n v="5"/>
    <n v="3"/>
    <n v="0"/>
    <n v="4"/>
  </r>
  <r>
    <s v="No"/>
    <s v="Travel_Rarely"/>
    <x v="2"/>
    <s v="Current Employees"/>
    <x v="0"/>
    <x v="4"/>
    <s v="STAFF-1568"/>
    <n v="1568"/>
    <x v="1"/>
    <x v="0"/>
    <x v="1"/>
    <s v="No"/>
    <s v="Y"/>
    <n v="3"/>
    <n v="-2"/>
    <n v="0"/>
    <n v="30"/>
    <n v="0"/>
    <m/>
    <n v="0"/>
    <n v="1"/>
    <n v="1288"/>
    <n v="29"/>
    <x v="2"/>
    <n v="1"/>
    <n v="4"/>
    <n v="33"/>
    <n v="3"/>
    <n v="3"/>
    <n v="4"/>
    <n v="9250"/>
    <n v="17799"/>
    <n v="3"/>
    <n v="12"/>
    <x v="0"/>
    <n v="2"/>
    <n v="80"/>
    <n v="1"/>
    <n v="9"/>
    <n v="3"/>
    <n v="4"/>
    <n v="2"/>
    <n v="1"/>
    <n v="3"/>
  </r>
  <r>
    <s v="No"/>
    <s v="Travel_Rarely"/>
    <x v="0"/>
    <s v="Current Employees"/>
    <x v="0"/>
    <x v="0"/>
    <s v="STAFF-1582"/>
    <n v="1582"/>
    <x v="1"/>
    <x v="0"/>
    <x v="1"/>
    <s v="No"/>
    <s v="Y"/>
    <n v="3"/>
    <n v="-2"/>
    <n v="0"/>
    <n v="38"/>
    <n v="0"/>
    <m/>
    <n v="0"/>
    <n v="1"/>
    <n v="1245"/>
    <n v="14"/>
    <x v="3"/>
    <n v="1"/>
    <n v="3"/>
    <n v="80"/>
    <n v="3"/>
    <n v="2"/>
    <n v="2"/>
    <n v="9924"/>
    <n v="12355"/>
    <n v="0"/>
    <n v="11"/>
    <x v="0"/>
    <n v="4"/>
    <n v="80"/>
    <n v="1"/>
    <n v="10"/>
    <n v="3"/>
    <n v="9"/>
    <n v="8"/>
    <n v="7"/>
    <n v="7"/>
  </r>
  <r>
    <s v="No"/>
    <s v="Travel_Rarely"/>
    <x v="2"/>
    <s v="Current Employees"/>
    <x v="0"/>
    <x v="0"/>
    <s v="STAFF-1739"/>
    <n v="1739"/>
    <x v="1"/>
    <x v="0"/>
    <x v="1"/>
    <s v="No"/>
    <s v="Y"/>
    <n v="2"/>
    <n v="-2"/>
    <n v="0"/>
    <n v="32"/>
    <n v="0"/>
    <m/>
    <n v="0"/>
    <n v="1"/>
    <n v="371"/>
    <n v="19"/>
    <x v="3"/>
    <n v="1"/>
    <n v="4"/>
    <n v="80"/>
    <n v="1"/>
    <n v="3"/>
    <n v="3"/>
    <n v="9610"/>
    <n v="3840"/>
    <n v="3"/>
    <n v="13"/>
    <x v="0"/>
    <n v="3"/>
    <n v="80"/>
    <n v="1"/>
    <n v="10"/>
    <n v="1"/>
    <n v="4"/>
    <n v="3"/>
    <n v="0"/>
    <n v="2"/>
  </r>
  <r>
    <s v="No"/>
    <s v="Travel_Rarely"/>
    <x v="0"/>
    <s v="Current Employees"/>
    <x v="0"/>
    <x v="0"/>
    <s v="STAFF-1492"/>
    <n v="1492"/>
    <x v="1"/>
    <x v="6"/>
    <x v="1"/>
    <s v="No"/>
    <s v="Y"/>
    <n v="3"/>
    <n v="-2"/>
    <n v="0"/>
    <n v="35"/>
    <n v="0"/>
    <m/>
    <n v="0"/>
    <n v="1"/>
    <n v="660"/>
    <n v="7"/>
    <x v="1"/>
    <n v="1"/>
    <n v="4"/>
    <n v="76"/>
    <n v="3"/>
    <n v="1"/>
    <n v="3"/>
    <n v="2404"/>
    <n v="16192"/>
    <n v="1"/>
    <n v="13"/>
    <x v="0"/>
    <n v="1"/>
    <n v="80"/>
    <n v="1"/>
    <n v="1"/>
    <n v="3"/>
    <n v="1"/>
    <n v="0"/>
    <n v="0"/>
    <n v="0"/>
  </r>
  <r>
    <s v="No"/>
    <s v="Travel_Rarely"/>
    <x v="2"/>
    <s v="Current Employees"/>
    <x v="0"/>
    <x v="3"/>
    <s v="STAFF-1446"/>
    <n v="1446"/>
    <x v="1"/>
    <x v="0"/>
    <x v="1"/>
    <s v="No"/>
    <s v="Y"/>
    <n v="3"/>
    <n v="-2"/>
    <n v="0"/>
    <n v="32"/>
    <n v="0"/>
    <m/>
    <n v="0"/>
    <n v="1"/>
    <n v="601"/>
    <n v="7"/>
    <x v="4"/>
    <n v="1"/>
    <n v="4"/>
    <n v="97"/>
    <n v="3"/>
    <n v="2"/>
    <n v="2"/>
    <n v="9204"/>
    <n v="23343"/>
    <n v="4"/>
    <n v="12"/>
    <x v="0"/>
    <n v="3"/>
    <n v="80"/>
    <n v="1"/>
    <n v="7"/>
    <n v="2"/>
    <n v="4"/>
    <n v="3"/>
    <n v="0"/>
    <n v="3"/>
  </r>
  <r>
    <s v="No"/>
    <s v="Travel_Rarely"/>
    <x v="0"/>
    <s v="Current Employees"/>
    <x v="0"/>
    <x v="2"/>
    <s v="STAFF-1588"/>
    <n v="1588"/>
    <x v="1"/>
    <x v="0"/>
    <x v="1"/>
    <s v="No"/>
    <s v="Y"/>
    <n v="3"/>
    <n v="-2"/>
    <n v="0"/>
    <n v="39"/>
    <n v="0"/>
    <m/>
    <n v="0"/>
    <n v="1"/>
    <n v="1462"/>
    <n v="6"/>
    <x v="3"/>
    <n v="1"/>
    <n v="4"/>
    <n v="38"/>
    <n v="4"/>
    <n v="3"/>
    <n v="3"/>
    <n v="8237"/>
    <n v="4658"/>
    <n v="2"/>
    <n v="11"/>
    <x v="0"/>
    <n v="1"/>
    <n v="80"/>
    <n v="1"/>
    <n v="11"/>
    <n v="3"/>
    <n v="7"/>
    <n v="6"/>
    <n v="7"/>
    <n v="6"/>
  </r>
  <r>
    <s v="No"/>
    <s v="Travel_Rarely"/>
    <x v="0"/>
    <s v="Current Employees"/>
    <x v="0"/>
    <x v="3"/>
    <s v="STAFF-1787"/>
    <n v="1787"/>
    <x v="1"/>
    <x v="0"/>
    <x v="1"/>
    <s v="No"/>
    <s v="Y"/>
    <n v="2"/>
    <n v="-2"/>
    <n v="0"/>
    <n v="37"/>
    <n v="0"/>
    <m/>
    <n v="0"/>
    <n v="1"/>
    <n v="589"/>
    <n v="9"/>
    <x v="0"/>
    <n v="1"/>
    <n v="2"/>
    <n v="46"/>
    <n v="2"/>
    <n v="2"/>
    <n v="2"/>
    <n v="4189"/>
    <n v="8800"/>
    <n v="1"/>
    <n v="14"/>
    <x v="0"/>
    <n v="1"/>
    <n v="80"/>
    <n v="2"/>
    <n v="5"/>
    <n v="3"/>
    <n v="5"/>
    <n v="2"/>
    <n v="0"/>
    <n v="3"/>
  </r>
  <r>
    <s v="No"/>
    <s v="Travel_Rarely"/>
    <x v="0"/>
    <s v="Current Employees"/>
    <x v="0"/>
    <x v="3"/>
    <s v="STAFF-1908"/>
    <n v="1908"/>
    <x v="1"/>
    <x v="0"/>
    <x v="1"/>
    <s v="No"/>
    <s v="Y"/>
    <n v="1"/>
    <n v="-2"/>
    <n v="0"/>
    <n v="36"/>
    <n v="0"/>
    <m/>
    <n v="0"/>
    <n v="1"/>
    <n v="335"/>
    <n v="17"/>
    <x v="0"/>
    <n v="1"/>
    <n v="3"/>
    <n v="33"/>
    <n v="2"/>
    <n v="2"/>
    <n v="2"/>
    <n v="5507"/>
    <n v="16822"/>
    <n v="2"/>
    <n v="16"/>
    <x v="0"/>
    <n v="3"/>
    <n v="80"/>
    <n v="2"/>
    <n v="12"/>
    <n v="1"/>
    <n v="4"/>
    <n v="2"/>
    <n v="1"/>
    <n v="3"/>
  </r>
  <r>
    <s v="No"/>
    <s v="Travel_Rarely"/>
    <x v="0"/>
    <s v="Current Employees"/>
    <x v="0"/>
    <x v="0"/>
    <s v="STAFF-1995"/>
    <n v="1995"/>
    <x v="1"/>
    <x v="0"/>
    <x v="1"/>
    <s v="No"/>
    <s v="Y"/>
    <n v="3"/>
    <n v="-2"/>
    <n v="0"/>
    <n v="38"/>
    <n v="0"/>
    <m/>
    <n v="0"/>
    <n v="1"/>
    <n v="1321"/>
    <n v="1"/>
    <x v="2"/>
    <n v="1"/>
    <n v="4"/>
    <n v="86"/>
    <n v="3"/>
    <n v="2"/>
    <n v="2"/>
    <n v="4440"/>
    <n v="7636"/>
    <n v="0"/>
    <n v="15"/>
    <x v="0"/>
    <n v="1"/>
    <n v="80"/>
    <n v="2"/>
    <n v="16"/>
    <n v="3"/>
    <n v="15"/>
    <n v="13"/>
    <n v="5"/>
    <n v="8"/>
  </r>
  <r>
    <s v="No"/>
    <s v="Travel_Rarely"/>
    <x v="2"/>
    <s v="Current Employees"/>
    <x v="0"/>
    <x v="0"/>
    <s v="STAFF-1479"/>
    <n v="1479"/>
    <x v="1"/>
    <x v="0"/>
    <x v="1"/>
    <s v="No"/>
    <s v="Y"/>
    <n v="2"/>
    <n v="-2"/>
    <n v="0"/>
    <n v="30"/>
    <n v="0"/>
    <m/>
    <n v="0"/>
    <n v="1"/>
    <n v="1358"/>
    <n v="16"/>
    <x v="1"/>
    <n v="1"/>
    <n v="4"/>
    <n v="96"/>
    <n v="3"/>
    <n v="2"/>
    <n v="3"/>
    <n v="5301"/>
    <n v="2939"/>
    <n v="8"/>
    <n v="15"/>
    <x v="0"/>
    <n v="3"/>
    <n v="80"/>
    <n v="2"/>
    <n v="4"/>
    <n v="2"/>
    <n v="2"/>
    <n v="1"/>
    <n v="2"/>
    <n v="2"/>
  </r>
  <r>
    <s v="No"/>
    <s v="Travel_Rarely"/>
    <x v="0"/>
    <s v="Current Employees"/>
    <x v="0"/>
    <x v="0"/>
    <s v="STAFF-1961"/>
    <n v="1961"/>
    <x v="1"/>
    <x v="6"/>
    <x v="0"/>
    <s v="No"/>
    <s v="Y"/>
    <n v="3"/>
    <n v="-2"/>
    <n v="0"/>
    <n v="38"/>
    <n v="0"/>
    <m/>
    <n v="0"/>
    <n v="1"/>
    <n v="1404"/>
    <n v="1"/>
    <x v="3"/>
    <n v="1"/>
    <n v="1"/>
    <n v="59"/>
    <n v="2"/>
    <n v="1"/>
    <n v="1"/>
    <n v="2858"/>
    <n v="11473"/>
    <n v="4"/>
    <n v="14"/>
    <x v="0"/>
    <n v="1"/>
    <n v="80"/>
    <n v="0"/>
    <n v="20"/>
    <n v="2"/>
    <n v="1"/>
    <n v="0"/>
    <n v="0"/>
    <n v="0"/>
  </r>
  <r>
    <s v="No"/>
    <s v="Travel_Rarely"/>
    <x v="0"/>
    <s v="Current Employees"/>
    <x v="0"/>
    <x v="3"/>
    <s v="STAFF-1975"/>
    <n v="1975"/>
    <x v="1"/>
    <x v="0"/>
    <x v="0"/>
    <s v="No"/>
    <s v="Y"/>
    <n v="3"/>
    <n v="-2"/>
    <n v="0"/>
    <n v="39"/>
    <n v="0"/>
    <m/>
    <n v="0"/>
    <n v="1"/>
    <n v="119"/>
    <n v="15"/>
    <x v="2"/>
    <n v="1"/>
    <n v="2"/>
    <n v="77"/>
    <n v="3"/>
    <n v="4"/>
    <n v="1"/>
    <n v="13341"/>
    <n v="25098"/>
    <n v="0"/>
    <n v="12"/>
    <x v="0"/>
    <n v="1"/>
    <n v="80"/>
    <n v="0"/>
    <n v="21"/>
    <n v="3"/>
    <n v="20"/>
    <n v="8"/>
    <n v="11"/>
    <n v="10"/>
  </r>
  <r>
    <s v="No"/>
    <s v="Travel_Rarely"/>
    <x v="0"/>
    <s v="Current Employees"/>
    <x v="0"/>
    <x v="2"/>
    <s v="STAFF-1740"/>
    <n v="1740"/>
    <x v="1"/>
    <x v="5"/>
    <x v="0"/>
    <s v="No"/>
    <s v="Y"/>
    <n v="3"/>
    <n v="-2"/>
    <n v="0"/>
    <n v="40"/>
    <n v="0"/>
    <m/>
    <n v="0"/>
    <n v="1"/>
    <n v="611"/>
    <n v="7"/>
    <x v="2"/>
    <n v="1"/>
    <n v="2"/>
    <n v="88"/>
    <n v="3"/>
    <n v="5"/>
    <n v="2"/>
    <n v="19833"/>
    <n v="4349"/>
    <n v="1"/>
    <n v="14"/>
    <x v="0"/>
    <n v="2"/>
    <n v="80"/>
    <n v="0"/>
    <n v="21"/>
    <n v="2"/>
    <n v="21"/>
    <n v="8"/>
    <n v="12"/>
    <n v="8"/>
  </r>
  <r>
    <s v="No"/>
    <s v="Travel_Rarely"/>
    <x v="2"/>
    <s v="Current Employees"/>
    <x v="0"/>
    <x v="3"/>
    <s v="STAFF-1924"/>
    <n v="1924"/>
    <x v="1"/>
    <x v="0"/>
    <x v="0"/>
    <s v="No"/>
    <s v="Y"/>
    <n v="2"/>
    <n v="-2"/>
    <n v="0"/>
    <n v="33"/>
    <n v="0"/>
    <m/>
    <n v="0"/>
    <n v="1"/>
    <n v="217"/>
    <n v="10"/>
    <x v="2"/>
    <n v="1"/>
    <n v="2"/>
    <n v="43"/>
    <n v="3"/>
    <n v="2"/>
    <n v="1"/>
    <n v="5487"/>
    <n v="10410"/>
    <n v="1"/>
    <n v="14"/>
    <x v="0"/>
    <n v="2"/>
    <n v="80"/>
    <n v="0"/>
    <n v="10"/>
    <n v="2"/>
    <n v="10"/>
    <n v="4"/>
    <n v="0"/>
    <n v="9"/>
  </r>
  <r>
    <s v="No"/>
    <s v="Travel_Rarely"/>
    <x v="2"/>
    <s v="Current Employees"/>
    <x v="0"/>
    <x v="2"/>
    <s v="STAFF-1650"/>
    <n v="1650"/>
    <x v="1"/>
    <x v="0"/>
    <x v="0"/>
    <s v="No"/>
    <s v="Y"/>
    <n v="2"/>
    <n v="-2"/>
    <n v="0"/>
    <n v="29"/>
    <n v="0"/>
    <m/>
    <n v="0"/>
    <n v="1"/>
    <n v="469"/>
    <n v="10"/>
    <x v="3"/>
    <n v="1"/>
    <n v="3"/>
    <n v="42"/>
    <n v="2"/>
    <n v="2"/>
    <n v="3"/>
    <n v="5869"/>
    <n v="23413"/>
    <n v="9"/>
    <n v="11"/>
    <x v="0"/>
    <n v="3"/>
    <n v="80"/>
    <n v="0"/>
    <n v="8"/>
    <n v="3"/>
    <n v="5"/>
    <n v="2"/>
    <n v="1"/>
    <n v="4"/>
  </r>
  <r>
    <s v="No"/>
    <s v="Travel_Rarely"/>
    <x v="2"/>
    <s v="Current Employees"/>
    <x v="0"/>
    <x v="2"/>
    <s v="STAFF-1836"/>
    <n v="1836"/>
    <x v="1"/>
    <x v="0"/>
    <x v="0"/>
    <s v="No"/>
    <s v="Y"/>
    <n v="4"/>
    <n v="-2"/>
    <n v="0"/>
    <n v="26"/>
    <n v="0"/>
    <m/>
    <n v="0"/>
    <n v="1"/>
    <n v="572"/>
    <n v="10"/>
    <x v="3"/>
    <n v="1"/>
    <n v="3"/>
    <n v="46"/>
    <n v="3"/>
    <n v="2"/>
    <n v="4"/>
    <n v="4684"/>
    <n v="9125"/>
    <n v="1"/>
    <n v="13"/>
    <x v="0"/>
    <n v="1"/>
    <n v="80"/>
    <n v="0"/>
    <n v="5"/>
    <n v="3"/>
    <n v="5"/>
    <n v="3"/>
    <n v="1"/>
    <n v="2"/>
  </r>
  <r>
    <s v="No"/>
    <s v="Travel_Rarely"/>
    <x v="2"/>
    <s v="Current Employees"/>
    <x v="0"/>
    <x v="1"/>
    <s v="STAFF-1478"/>
    <n v="1478"/>
    <x v="1"/>
    <x v="0"/>
    <x v="0"/>
    <s v="No"/>
    <s v="Y"/>
    <n v="2"/>
    <n v="-2"/>
    <n v="0"/>
    <n v="34"/>
    <n v="0"/>
    <m/>
    <n v="0"/>
    <n v="1"/>
    <n v="1326"/>
    <n v="3"/>
    <x v="3"/>
    <n v="1"/>
    <n v="4"/>
    <n v="81"/>
    <n v="1"/>
    <n v="2"/>
    <n v="1"/>
    <n v="4759"/>
    <n v="15891"/>
    <n v="3"/>
    <n v="18"/>
    <x v="0"/>
    <n v="4"/>
    <n v="80"/>
    <n v="0"/>
    <n v="15"/>
    <n v="3"/>
    <n v="13"/>
    <n v="9"/>
    <n v="3"/>
    <n v="12"/>
  </r>
  <r>
    <s v="No"/>
    <s v="Travel_Rarely"/>
    <x v="4"/>
    <s v="Current Employees"/>
    <x v="0"/>
    <x v="0"/>
    <s v="STAFF-1680"/>
    <n v="1680"/>
    <x v="1"/>
    <x v="6"/>
    <x v="0"/>
    <s v="No"/>
    <s v="Y"/>
    <n v="3"/>
    <n v="-2"/>
    <n v="0"/>
    <n v="20"/>
    <n v="0"/>
    <m/>
    <n v="0"/>
    <n v="1"/>
    <n v="727"/>
    <n v="9"/>
    <x v="1"/>
    <n v="1"/>
    <n v="4"/>
    <n v="54"/>
    <n v="3"/>
    <n v="1"/>
    <n v="1"/>
    <n v="2728"/>
    <n v="21082"/>
    <n v="1"/>
    <n v="11"/>
    <x v="0"/>
    <n v="1"/>
    <n v="80"/>
    <n v="0"/>
    <n v="2"/>
    <n v="3"/>
    <n v="2"/>
    <n v="2"/>
    <n v="0"/>
    <n v="2"/>
  </r>
  <r>
    <s v="No"/>
    <s v="Travel_Rarely"/>
    <x v="2"/>
    <s v="Current Employees"/>
    <x v="0"/>
    <x v="2"/>
    <s v="STAFF-1469"/>
    <n v="1469"/>
    <x v="1"/>
    <x v="0"/>
    <x v="0"/>
    <s v="No"/>
    <s v="Y"/>
    <n v="4"/>
    <n v="-2"/>
    <n v="0"/>
    <n v="28"/>
    <n v="0"/>
    <m/>
    <n v="0"/>
    <n v="1"/>
    <n v="866"/>
    <n v="5"/>
    <x v="3"/>
    <n v="1"/>
    <n v="4"/>
    <n v="84"/>
    <n v="3"/>
    <n v="2"/>
    <n v="1"/>
    <n v="8463"/>
    <n v="23490"/>
    <n v="0"/>
    <n v="18"/>
    <x v="0"/>
    <n v="4"/>
    <n v="80"/>
    <n v="0"/>
    <n v="6"/>
    <n v="3"/>
    <n v="5"/>
    <n v="4"/>
    <n v="1"/>
    <n v="3"/>
  </r>
  <r>
    <s v="No"/>
    <s v="Travel_Rarely"/>
    <x v="0"/>
    <s v="Current Employees"/>
    <x v="0"/>
    <x v="3"/>
    <s v="STAFF-1708"/>
    <n v="1708"/>
    <x v="1"/>
    <x v="0"/>
    <x v="0"/>
    <s v="No"/>
    <s v="Y"/>
    <n v="3"/>
    <n v="-2"/>
    <n v="0"/>
    <n v="41"/>
    <n v="0"/>
    <m/>
    <n v="0"/>
    <n v="1"/>
    <n v="918"/>
    <n v="6"/>
    <x v="3"/>
    <n v="1"/>
    <n v="4"/>
    <n v="35"/>
    <n v="3"/>
    <n v="3"/>
    <n v="1"/>
    <n v="9241"/>
    <n v="15869"/>
    <n v="1"/>
    <n v="12"/>
    <x v="0"/>
    <n v="2"/>
    <n v="80"/>
    <n v="0"/>
    <n v="10"/>
    <n v="3"/>
    <n v="10"/>
    <n v="8"/>
    <n v="8"/>
    <n v="7"/>
  </r>
  <r>
    <s v="No"/>
    <s v="Travel_Rarely"/>
    <x v="2"/>
    <s v="Current Employees"/>
    <x v="0"/>
    <x v="3"/>
    <s v="STAFF-1965"/>
    <n v="1965"/>
    <x v="1"/>
    <x v="0"/>
    <x v="0"/>
    <s v="No"/>
    <s v="Y"/>
    <n v="5"/>
    <n v="-2"/>
    <n v="0"/>
    <n v="27"/>
    <n v="0"/>
    <m/>
    <n v="0"/>
    <n v="1"/>
    <n v="954"/>
    <n v="9"/>
    <x v="3"/>
    <n v="1"/>
    <n v="4"/>
    <n v="44"/>
    <n v="3"/>
    <n v="2"/>
    <n v="1"/>
    <n v="4105"/>
    <n v="5099"/>
    <n v="1"/>
    <n v="14"/>
    <x v="0"/>
    <n v="1"/>
    <n v="80"/>
    <n v="0"/>
    <n v="7"/>
    <n v="3"/>
    <n v="7"/>
    <n v="7"/>
    <n v="0"/>
    <n v="7"/>
  </r>
  <r>
    <s v="No"/>
    <s v="Travel_Rarely"/>
    <x v="1"/>
    <s v="Current Employees"/>
    <x v="0"/>
    <x v="0"/>
    <s v="STAFF-1602"/>
    <n v="1602"/>
    <x v="1"/>
    <x v="5"/>
    <x v="0"/>
    <s v="No"/>
    <s v="Y"/>
    <n v="5"/>
    <n v="-2"/>
    <n v="0"/>
    <n v="46"/>
    <n v="0"/>
    <m/>
    <n v="0"/>
    <n v="1"/>
    <n v="563"/>
    <n v="1"/>
    <x v="2"/>
    <n v="1"/>
    <n v="4"/>
    <n v="56"/>
    <n v="4"/>
    <n v="4"/>
    <n v="1"/>
    <n v="17567"/>
    <n v="3156"/>
    <n v="1"/>
    <n v="15"/>
    <x v="0"/>
    <n v="2"/>
    <n v="80"/>
    <n v="0"/>
    <n v="27"/>
    <n v="1"/>
    <n v="26"/>
    <n v="0"/>
    <n v="0"/>
    <n v="12"/>
  </r>
  <r>
    <s v="No"/>
    <s v="Non-Travel"/>
    <x v="4"/>
    <s v="Current Employees"/>
    <x v="1"/>
    <x v="1"/>
    <s v="STAFF-1605"/>
    <n v="1605"/>
    <x v="0"/>
    <x v="1"/>
    <x v="1"/>
    <s v="Yes"/>
    <s v="Y"/>
    <n v="2"/>
    <n v="-2"/>
    <n v="0"/>
    <n v="22"/>
    <n v="0"/>
    <m/>
    <n v="0"/>
    <n v="1"/>
    <n v="457"/>
    <n v="26"/>
    <x v="0"/>
    <n v="1"/>
    <n v="2"/>
    <n v="85"/>
    <n v="2"/>
    <n v="1"/>
    <n v="3"/>
    <n v="2814"/>
    <n v="10293"/>
    <n v="1"/>
    <n v="14"/>
    <x v="0"/>
    <n v="2"/>
    <n v="80"/>
    <n v="0"/>
    <n v="4"/>
    <n v="2"/>
    <n v="4"/>
    <n v="2"/>
    <n v="1"/>
    <n v="3"/>
  </r>
  <r>
    <s v="No"/>
    <s v="Travel_Frequently"/>
    <x v="0"/>
    <s v="Current Employees"/>
    <x v="1"/>
    <x v="2"/>
    <s v="STAFF-1937"/>
    <n v="1937"/>
    <x v="0"/>
    <x v="1"/>
    <x v="2"/>
    <s v="Yes"/>
    <s v="Y"/>
    <n v="3"/>
    <n v="-2"/>
    <n v="0"/>
    <n v="38"/>
    <n v="0"/>
    <m/>
    <n v="0"/>
    <n v="1"/>
    <n v="1394"/>
    <n v="8"/>
    <x v="3"/>
    <n v="1"/>
    <n v="4"/>
    <n v="58"/>
    <n v="2"/>
    <n v="2"/>
    <n v="2"/>
    <n v="2133"/>
    <n v="18115"/>
    <n v="1"/>
    <n v="16"/>
    <x v="0"/>
    <n v="3"/>
    <n v="80"/>
    <n v="1"/>
    <n v="20"/>
    <n v="3"/>
    <n v="20"/>
    <n v="11"/>
    <n v="0"/>
    <n v="7"/>
  </r>
  <r>
    <s v="No"/>
    <s v="Travel_Frequently"/>
    <x v="4"/>
    <s v="Current Employees"/>
    <x v="1"/>
    <x v="4"/>
    <s v="STAFF-1646"/>
    <n v="1646"/>
    <x v="0"/>
    <x v="1"/>
    <x v="0"/>
    <s v="Yes"/>
    <s v="Y"/>
    <n v="2"/>
    <n v="-2"/>
    <n v="0"/>
    <n v="24"/>
    <n v="0"/>
    <m/>
    <n v="0"/>
    <n v="1"/>
    <n v="567"/>
    <n v="2"/>
    <x v="1"/>
    <n v="1"/>
    <n v="4"/>
    <n v="32"/>
    <n v="3"/>
    <n v="1"/>
    <n v="4"/>
    <n v="3760"/>
    <n v="17218"/>
    <n v="1"/>
    <n v="13"/>
    <x v="0"/>
    <n v="3"/>
    <n v="80"/>
    <n v="0"/>
    <n v="6"/>
    <n v="3"/>
    <n v="6"/>
    <n v="3"/>
    <n v="1"/>
    <n v="3"/>
  </r>
  <r>
    <s v="No"/>
    <s v="Travel_Frequently"/>
    <x v="2"/>
    <s v="Current Employees"/>
    <x v="1"/>
    <x v="0"/>
    <s v="STAFF-1850"/>
    <n v="1850"/>
    <x v="0"/>
    <x v="2"/>
    <x v="0"/>
    <s v="Yes"/>
    <s v="Y"/>
    <n v="3"/>
    <n v="-2"/>
    <n v="0"/>
    <n v="27"/>
    <n v="0"/>
    <m/>
    <n v="0"/>
    <n v="1"/>
    <n v="1297"/>
    <n v="5"/>
    <x v="0"/>
    <n v="1"/>
    <n v="4"/>
    <n v="53"/>
    <n v="3"/>
    <n v="1"/>
    <n v="4"/>
    <n v="2379"/>
    <n v="19826"/>
    <n v="0"/>
    <n v="14"/>
    <x v="0"/>
    <n v="3"/>
    <n v="80"/>
    <n v="0"/>
    <n v="6"/>
    <n v="2"/>
    <n v="5"/>
    <n v="4"/>
    <n v="0"/>
    <n v="2"/>
  </r>
  <r>
    <s v="No"/>
    <s v="Travel_Rarely"/>
    <x v="0"/>
    <s v="Current Employees"/>
    <x v="2"/>
    <x v="0"/>
    <s v="STAFF-1683"/>
    <n v="1683"/>
    <x v="0"/>
    <x v="8"/>
    <x v="2"/>
    <s v="Yes"/>
    <s v="Y"/>
    <n v="2"/>
    <n v="-2"/>
    <n v="0"/>
    <n v="44"/>
    <n v="0"/>
    <m/>
    <n v="0"/>
    <n v="1"/>
    <n v="528"/>
    <n v="1"/>
    <x v="3"/>
    <n v="1"/>
    <n v="3"/>
    <n v="44"/>
    <n v="3"/>
    <n v="1"/>
    <n v="4"/>
    <n v="3195"/>
    <n v="4167"/>
    <n v="4"/>
    <n v="18"/>
    <x v="0"/>
    <n v="1"/>
    <n v="80"/>
    <n v="3"/>
    <n v="8"/>
    <n v="3"/>
    <n v="2"/>
    <n v="2"/>
    <n v="2"/>
    <n v="2"/>
  </r>
  <r>
    <s v="No"/>
    <s v="Travel_Rarely"/>
    <x v="0"/>
    <s v="Current Employees"/>
    <x v="2"/>
    <x v="0"/>
    <s v="STAFF-2040"/>
    <n v="2040"/>
    <x v="0"/>
    <x v="8"/>
    <x v="0"/>
    <s v="Yes"/>
    <s v="Y"/>
    <n v="2"/>
    <n v="-2"/>
    <n v="0"/>
    <n v="35"/>
    <n v="0"/>
    <m/>
    <n v="0"/>
    <n v="1"/>
    <n v="1146"/>
    <n v="26"/>
    <x v="2"/>
    <n v="1"/>
    <n v="3"/>
    <n v="31"/>
    <n v="3"/>
    <n v="3"/>
    <n v="4"/>
    <n v="8837"/>
    <n v="16642"/>
    <n v="1"/>
    <n v="16"/>
    <x v="0"/>
    <n v="3"/>
    <n v="80"/>
    <n v="0"/>
    <n v="9"/>
    <n v="3"/>
    <n v="9"/>
    <n v="0"/>
    <n v="1"/>
    <n v="7"/>
  </r>
  <r>
    <s v="No"/>
    <s v="Travel_Rarely"/>
    <x v="0"/>
    <s v="Current Employees"/>
    <x v="1"/>
    <x v="2"/>
    <s v="STAFF-1608"/>
    <n v="1608"/>
    <x v="0"/>
    <x v="7"/>
    <x v="2"/>
    <s v="Yes"/>
    <s v="Y"/>
    <n v="4"/>
    <n v="-2"/>
    <n v="0"/>
    <n v="44"/>
    <n v="0"/>
    <m/>
    <n v="0"/>
    <n v="1"/>
    <n v="1313"/>
    <n v="7"/>
    <x v="3"/>
    <n v="1"/>
    <n v="2"/>
    <n v="31"/>
    <n v="3"/>
    <n v="5"/>
    <n v="4"/>
    <n v="19049"/>
    <n v="3549"/>
    <n v="0"/>
    <n v="14"/>
    <x v="0"/>
    <n v="4"/>
    <n v="80"/>
    <n v="1"/>
    <n v="23"/>
    <n v="2"/>
    <n v="22"/>
    <n v="7"/>
    <n v="1"/>
    <n v="10"/>
  </r>
  <r>
    <s v="No"/>
    <s v="Travel_Rarely"/>
    <x v="1"/>
    <s v="Current Employees"/>
    <x v="1"/>
    <x v="0"/>
    <s v="STAFF-1827"/>
    <n v="1827"/>
    <x v="0"/>
    <x v="3"/>
    <x v="2"/>
    <s v="Yes"/>
    <s v="Y"/>
    <n v="4"/>
    <n v="-2"/>
    <n v="0"/>
    <n v="47"/>
    <n v="0"/>
    <m/>
    <n v="0"/>
    <n v="1"/>
    <n v="1001"/>
    <n v="4"/>
    <x v="3"/>
    <n v="1"/>
    <n v="3"/>
    <n v="92"/>
    <n v="2"/>
    <n v="3"/>
    <n v="2"/>
    <n v="10333"/>
    <n v="19271"/>
    <n v="8"/>
    <n v="12"/>
    <x v="0"/>
    <n v="3"/>
    <n v="80"/>
    <n v="1"/>
    <n v="28"/>
    <n v="3"/>
    <n v="22"/>
    <n v="11"/>
    <n v="14"/>
    <n v="10"/>
  </r>
  <r>
    <s v="No"/>
    <s v="Travel_Rarely"/>
    <x v="1"/>
    <s v="Current Employees"/>
    <x v="1"/>
    <x v="2"/>
    <s v="STAFF-1674"/>
    <n v="1674"/>
    <x v="0"/>
    <x v="2"/>
    <x v="2"/>
    <s v="Yes"/>
    <s v="Y"/>
    <n v="2"/>
    <n v="-2"/>
    <n v="0"/>
    <n v="49"/>
    <n v="0"/>
    <m/>
    <n v="0"/>
    <n v="1"/>
    <n v="464"/>
    <n v="16"/>
    <x v="3"/>
    <n v="1"/>
    <n v="4"/>
    <n v="74"/>
    <n v="3"/>
    <n v="1"/>
    <n v="1"/>
    <n v="2587"/>
    <n v="24941"/>
    <n v="4"/>
    <n v="16"/>
    <x v="0"/>
    <n v="2"/>
    <n v="80"/>
    <n v="1"/>
    <n v="17"/>
    <n v="2"/>
    <n v="2"/>
    <n v="2"/>
    <n v="2"/>
    <n v="2"/>
  </r>
  <r>
    <s v="No"/>
    <s v="Travel_Rarely"/>
    <x v="2"/>
    <s v="Current Employees"/>
    <x v="1"/>
    <x v="2"/>
    <s v="STAFF-1974"/>
    <n v="1974"/>
    <x v="0"/>
    <x v="2"/>
    <x v="2"/>
    <s v="Yes"/>
    <s v="Y"/>
    <n v="4"/>
    <n v="-2"/>
    <n v="0"/>
    <n v="31"/>
    <n v="0"/>
    <m/>
    <n v="0"/>
    <n v="1"/>
    <n v="1276"/>
    <n v="2"/>
    <x v="1"/>
    <n v="1"/>
    <n v="4"/>
    <n v="59"/>
    <n v="1"/>
    <n v="1"/>
    <n v="4"/>
    <n v="1129"/>
    <n v="17536"/>
    <n v="1"/>
    <n v="11"/>
    <x v="0"/>
    <n v="3"/>
    <n v="80"/>
    <n v="3"/>
    <n v="1"/>
    <n v="3"/>
    <n v="1"/>
    <n v="0"/>
    <n v="0"/>
    <n v="0"/>
  </r>
  <r>
    <s v="No"/>
    <s v="Travel_Rarely"/>
    <x v="0"/>
    <s v="Current Employees"/>
    <x v="1"/>
    <x v="1"/>
    <s v="STAFF-1886"/>
    <n v="1886"/>
    <x v="0"/>
    <x v="3"/>
    <x v="1"/>
    <s v="Yes"/>
    <s v="Y"/>
    <n v="2"/>
    <n v="-2"/>
    <n v="0"/>
    <n v="35"/>
    <n v="0"/>
    <m/>
    <n v="0"/>
    <n v="1"/>
    <n v="219"/>
    <n v="16"/>
    <x v="0"/>
    <n v="1"/>
    <n v="4"/>
    <n v="44"/>
    <n v="2"/>
    <n v="2"/>
    <n v="2"/>
    <n v="4788"/>
    <n v="25388"/>
    <n v="0"/>
    <n v="11"/>
    <x v="0"/>
    <n v="4"/>
    <n v="80"/>
    <n v="0"/>
    <n v="4"/>
    <n v="3"/>
    <n v="3"/>
    <n v="2"/>
    <n v="0"/>
    <n v="2"/>
  </r>
  <r>
    <s v="No"/>
    <s v="Travel_Rarely"/>
    <x v="2"/>
    <s v="Current Employees"/>
    <x v="1"/>
    <x v="0"/>
    <s v="STAFF-1893"/>
    <n v="1893"/>
    <x v="0"/>
    <x v="1"/>
    <x v="1"/>
    <s v="Yes"/>
    <s v="Y"/>
    <n v="3"/>
    <n v="-2"/>
    <n v="0"/>
    <n v="26"/>
    <n v="0"/>
    <m/>
    <n v="0"/>
    <n v="1"/>
    <n v="482"/>
    <n v="1"/>
    <x v="0"/>
    <n v="1"/>
    <n v="2"/>
    <n v="90"/>
    <n v="2"/>
    <n v="1"/>
    <n v="3"/>
    <n v="2933"/>
    <n v="14908"/>
    <n v="1"/>
    <n v="13"/>
    <x v="0"/>
    <n v="3"/>
    <n v="80"/>
    <n v="1"/>
    <n v="1"/>
    <n v="2"/>
    <n v="1"/>
    <n v="0"/>
    <n v="1"/>
    <n v="0"/>
  </r>
  <r>
    <s v="No"/>
    <s v="Travel_Rarely"/>
    <x v="0"/>
    <s v="Current Employees"/>
    <x v="1"/>
    <x v="0"/>
    <s v="STAFF-1724"/>
    <n v="1724"/>
    <x v="0"/>
    <x v="3"/>
    <x v="1"/>
    <s v="Yes"/>
    <s v="Y"/>
    <n v="3"/>
    <n v="-2"/>
    <n v="0"/>
    <n v="40"/>
    <n v="0"/>
    <m/>
    <n v="0"/>
    <n v="1"/>
    <n v="369"/>
    <n v="8"/>
    <x v="0"/>
    <n v="1"/>
    <n v="2"/>
    <n v="92"/>
    <n v="3"/>
    <n v="2"/>
    <n v="1"/>
    <n v="6516"/>
    <n v="5041"/>
    <n v="2"/>
    <n v="16"/>
    <x v="0"/>
    <n v="2"/>
    <n v="80"/>
    <n v="1"/>
    <n v="18"/>
    <n v="3"/>
    <n v="1"/>
    <n v="0"/>
    <n v="0"/>
    <n v="0"/>
  </r>
  <r>
    <s v="No"/>
    <s v="Travel_Rarely"/>
    <x v="2"/>
    <s v="Current Employees"/>
    <x v="1"/>
    <x v="2"/>
    <s v="STAFF-2009"/>
    <n v="2009"/>
    <x v="0"/>
    <x v="4"/>
    <x v="1"/>
    <s v="Yes"/>
    <s v="Y"/>
    <n v="6"/>
    <n v="-2"/>
    <n v="0"/>
    <n v="33"/>
    <n v="0"/>
    <m/>
    <n v="0"/>
    <n v="1"/>
    <n v="501"/>
    <n v="15"/>
    <x v="0"/>
    <n v="1"/>
    <n v="2"/>
    <n v="95"/>
    <n v="3"/>
    <n v="2"/>
    <n v="4"/>
    <n v="4878"/>
    <n v="21653"/>
    <n v="0"/>
    <n v="13"/>
    <x v="0"/>
    <n v="1"/>
    <n v="80"/>
    <n v="1"/>
    <n v="10"/>
    <n v="3"/>
    <n v="9"/>
    <n v="7"/>
    <n v="8"/>
    <n v="1"/>
  </r>
  <r>
    <s v="No"/>
    <s v="Travel_Rarely"/>
    <x v="1"/>
    <s v="Current Employees"/>
    <x v="1"/>
    <x v="0"/>
    <s v="STAFF-1661"/>
    <n v="1661"/>
    <x v="0"/>
    <x v="4"/>
    <x v="1"/>
    <s v="Yes"/>
    <s v="Y"/>
    <n v="3"/>
    <n v="-2"/>
    <n v="0"/>
    <n v="49"/>
    <n v="0"/>
    <m/>
    <n v="0"/>
    <n v="1"/>
    <n v="465"/>
    <n v="6"/>
    <x v="1"/>
    <n v="1"/>
    <n v="3"/>
    <n v="41"/>
    <n v="2"/>
    <n v="4"/>
    <n v="3"/>
    <n v="13966"/>
    <n v="11652"/>
    <n v="2"/>
    <n v="19"/>
    <x v="0"/>
    <n v="2"/>
    <n v="80"/>
    <n v="1"/>
    <n v="30"/>
    <n v="3"/>
    <n v="15"/>
    <n v="11"/>
    <n v="2"/>
    <n v="12"/>
  </r>
  <r>
    <s v="No"/>
    <s v="Travel_Rarely"/>
    <x v="0"/>
    <s v="Current Employees"/>
    <x v="1"/>
    <x v="0"/>
    <s v="STAFF-1703"/>
    <n v="1703"/>
    <x v="0"/>
    <x v="4"/>
    <x v="1"/>
    <s v="Yes"/>
    <s v="Y"/>
    <n v="2"/>
    <n v="-2"/>
    <n v="0"/>
    <n v="44"/>
    <n v="0"/>
    <m/>
    <n v="0"/>
    <n v="1"/>
    <n v="921"/>
    <n v="2"/>
    <x v="3"/>
    <n v="1"/>
    <n v="3"/>
    <n v="96"/>
    <n v="4"/>
    <n v="3"/>
    <n v="4"/>
    <n v="7879"/>
    <n v="14810"/>
    <n v="1"/>
    <n v="19"/>
    <x v="0"/>
    <n v="2"/>
    <n v="80"/>
    <n v="1"/>
    <n v="9"/>
    <n v="3"/>
    <n v="8"/>
    <n v="7"/>
    <n v="6"/>
    <n v="7"/>
  </r>
  <r>
    <s v="No"/>
    <s v="Travel_Rarely"/>
    <x v="0"/>
    <s v="Current Employees"/>
    <x v="1"/>
    <x v="2"/>
    <s v="STAFF-1638"/>
    <n v="1638"/>
    <x v="0"/>
    <x v="3"/>
    <x v="1"/>
    <s v="Yes"/>
    <s v="Y"/>
    <n v="6"/>
    <n v="-2"/>
    <n v="0"/>
    <n v="38"/>
    <n v="0"/>
    <m/>
    <n v="0"/>
    <n v="1"/>
    <n v="397"/>
    <n v="2"/>
    <x v="0"/>
    <n v="1"/>
    <n v="4"/>
    <n v="54"/>
    <n v="2"/>
    <n v="3"/>
    <n v="3"/>
    <n v="7756"/>
    <n v="14199"/>
    <n v="3"/>
    <n v="19"/>
    <x v="0"/>
    <n v="4"/>
    <n v="80"/>
    <n v="1"/>
    <n v="10"/>
    <n v="4"/>
    <n v="5"/>
    <n v="4"/>
    <n v="0"/>
    <n v="2"/>
  </r>
  <r>
    <s v="No"/>
    <s v="Travel_Rarely"/>
    <x v="0"/>
    <s v="Current Employees"/>
    <x v="1"/>
    <x v="0"/>
    <s v="STAFF-1614"/>
    <n v="1614"/>
    <x v="0"/>
    <x v="3"/>
    <x v="1"/>
    <s v="Yes"/>
    <s v="Y"/>
    <n v="2"/>
    <n v="-2"/>
    <n v="0"/>
    <n v="36"/>
    <n v="0"/>
    <m/>
    <n v="0"/>
    <n v="1"/>
    <n v="559"/>
    <n v="12"/>
    <x v="2"/>
    <n v="1"/>
    <n v="3"/>
    <n v="76"/>
    <n v="3"/>
    <n v="2"/>
    <n v="3"/>
    <n v="4663"/>
    <n v="12421"/>
    <n v="9"/>
    <n v="12"/>
    <x v="0"/>
    <n v="2"/>
    <n v="80"/>
    <n v="2"/>
    <n v="7"/>
    <n v="3"/>
    <n v="3"/>
    <n v="2"/>
    <n v="1"/>
    <n v="1"/>
  </r>
  <r>
    <s v="No"/>
    <s v="Travel_Rarely"/>
    <x v="0"/>
    <s v="Current Employees"/>
    <x v="1"/>
    <x v="2"/>
    <s v="STAFF-1587"/>
    <n v="1587"/>
    <x v="0"/>
    <x v="4"/>
    <x v="0"/>
    <s v="Yes"/>
    <s v="Y"/>
    <n v="4"/>
    <n v="-2"/>
    <n v="0"/>
    <n v="35"/>
    <n v="0"/>
    <m/>
    <n v="0"/>
    <n v="1"/>
    <n v="670"/>
    <n v="10"/>
    <x v="2"/>
    <n v="1"/>
    <n v="1"/>
    <n v="51"/>
    <n v="3"/>
    <n v="2"/>
    <n v="3"/>
    <n v="6142"/>
    <n v="4223"/>
    <n v="3"/>
    <n v="16"/>
    <x v="0"/>
    <n v="3"/>
    <n v="80"/>
    <n v="0"/>
    <n v="10"/>
    <n v="3"/>
    <n v="5"/>
    <n v="2"/>
    <n v="0"/>
    <n v="4"/>
  </r>
  <r>
    <s v="No"/>
    <s v="Travel_Rarely"/>
    <x v="1"/>
    <s v="Current Employees"/>
    <x v="1"/>
    <x v="2"/>
    <s v="STAFF-1611"/>
    <n v="1611"/>
    <x v="0"/>
    <x v="2"/>
    <x v="0"/>
    <s v="Yes"/>
    <s v="Y"/>
    <n v="3"/>
    <n v="-2"/>
    <n v="0"/>
    <n v="45"/>
    <n v="0"/>
    <m/>
    <n v="0"/>
    <n v="1"/>
    <n v="1015"/>
    <n v="5"/>
    <x v="4"/>
    <n v="1"/>
    <n v="3"/>
    <n v="50"/>
    <n v="1"/>
    <n v="2"/>
    <n v="1"/>
    <n v="5769"/>
    <n v="23447"/>
    <n v="1"/>
    <n v="14"/>
    <x v="0"/>
    <n v="1"/>
    <n v="80"/>
    <n v="0"/>
    <n v="10"/>
    <n v="3"/>
    <n v="10"/>
    <n v="7"/>
    <n v="1"/>
    <n v="4"/>
  </r>
  <r>
    <s v="No"/>
    <s v="Travel_Rarely"/>
    <x v="1"/>
    <s v="Current Employees"/>
    <x v="1"/>
    <x v="2"/>
    <s v="STAFF-1980"/>
    <n v="1980"/>
    <x v="0"/>
    <x v="3"/>
    <x v="0"/>
    <s v="Yes"/>
    <s v="Y"/>
    <n v="3"/>
    <n v="-2"/>
    <n v="0"/>
    <n v="54"/>
    <n v="0"/>
    <m/>
    <n v="0"/>
    <n v="1"/>
    <n v="157"/>
    <n v="10"/>
    <x v="3"/>
    <n v="1"/>
    <n v="3"/>
    <n v="77"/>
    <n v="3"/>
    <n v="2"/>
    <n v="1"/>
    <n v="4440"/>
    <n v="25198"/>
    <n v="6"/>
    <n v="19"/>
    <x v="0"/>
    <n v="4"/>
    <n v="80"/>
    <n v="0"/>
    <n v="9"/>
    <n v="3"/>
    <n v="5"/>
    <n v="2"/>
    <n v="1"/>
    <n v="4"/>
  </r>
  <r>
    <s v="No"/>
    <s v="Travel_Rarely"/>
    <x v="0"/>
    <s v="Current Employees"/>
    <x v="1"/>
    <x v="0"/>
    <s v="STAFF-1641"/>
    <n v="1641"/>
    <x v="0"/>
    <x v="3"/>
    <x v="0"/>
    <s v="Yes"/>
    <s v="Y"/>
    <n v="2"/>
    <n v="-2"/>
    <n v="0"/>
    <n v="40"/>
    <n v="0"/>
    <m/>
    <n v="0"/>
    <n v="1"/>
    <n v="448"/>
    <n v="16"/>
    <x v="3"/>
    <n v="1"/>
    <n v="3"/>
    <n v="84"/>
    <n v="3"/>
    <n v="3"/>
    <n v="4"/>
    <n v="7945"/>
    <n v="19948"/>
    <n v="6"/>
    <n v="15"/>
    <x v="0"/>
    <n v="4"/>
    <n v="80"/>
    <n v="0"/>
    <n v="18"/>
    <n v="2"/>
    <n v="4"/>
    <n v="2"/>
    <n v="3"/>
    <n v="3"/>
  </r>
  <r>
    <s v="No"/>
    <s v="Travel_Rarely"/>
    <x v="0"/>
    <s v="Current Employees"/>
    <x v="0"/>
    <x v="3"/>
    <s v="STAFF-1815"/>
    <n v="1815"/>
    <x v="0"/>
    <x v="0"/>
    <x v="2"/>
    <s v="Yes"/>
    <s v="Y"/>
    <n v="3"/>
    <n v="-2"/>
    <n v="0"/>
    <n v="41"/>
    <n v="0"/>
    <m/>
    <n v="0"/>
    <n v="1"/>
    <n v="796"/>
    <n v="4"/>
    <x v="1"/>
    <n v="1"/>
    <n v="3"/>
    <n v="81"/>
    <n v="3"/>
    <n v="3"/>
    <n v="1"/>
    <n v="10447"/>
    <n v="26458"/>
    <n v="0"/>
    <n v="13"/>
    <x v="0"/>
    <n v="4"/>
    <n v="80"/>
    <n v="1"/>
    <n v="23"/>
    <n v="4"/>
    <n v="22"/>
    <n v="14"/>
    <n v="13"/>
    <n v="5"/>
  </r>
  <r>
    <s v="No"/>
    <s v="Travel_Rarely"/>
    <x v="2"/>
    <s v="Current Employees"/>
    <x v="0"/>
    <x v="2"/>
    <s v="STAFF-1912"/>
    <n v="1912"/>
    <x v="0"/>
    <x v="0"/>
    <x v="2"/>
    <s v="Yes"/>
    <s v="Y"/>
    <n v="2"/>
    <n v="-2"/>
    <n v="0"/>
    <n v="31"/>
    <n v="0"/>
    <m/>
    <n v="0"/>
    <n v="1"/>
    <n v="1079"/>
    <n v="10"/>
    <x v="0"/>
    <n v="1"/>
    <n v="3"/>
    <n v="86"/>
    <n v="3"/>
    <n v="2"/>
    <n v="4"/>
    <n v="6583"/>
    <n v="20115"/>
    <n v="2"/>
    <n v="11"/>
    <x v="0"/>
    <n v="4"/>
    <n v="80"/>
    <n v="1"/>
    <n v="8"/>
    <n v="3"/>
    <n v="5"/>
    <n v="2"/>
    <n v="1"/>
    <n v="4"/>
  </r>
  <r>
    <s v="No"/>
    <s v="Travel_Rarely"/>
    <x v="0"/>
    <s v="Current Employees"/>
    <x v="0"/>
    <x v="0"/>
    <s v="STAFF-1962"/>
    <n v="1962"/>
    <x v="0"/>
    <x v="0"/>
    <x v="1"/>
    <s v="Yes"/>
    <s v="Y"/>
    <n v="2"/>
    <n v="-2"/>
    <n v="0"/>
    <n v="35"/>
    <n v="0"/>
    <m/>
    <n v="0"/>
    <n v="1"/>
    <n v="1224"/>
    <n v="7"/>
    <x v="2"/>
    <n v="1"/>
    <n v="3"/>
    <n v="55"/>
    <n v="3"/>
    <n v="2"/>
    <n v="4"/>
    <n v="5204"/>
    <n v="13586"/>
    <n v="1"/>
    <n v="11"/>
    <x v="0"/>
    <n v="4"/>
    <n v="80"/>
    <n v="0"/>
    <n v="10"/>
    <n v="3"/>
    <n v="10"/>
    <n v="8"/>
    <n v="0"/>
    <n v="9"/>
  </r>
  <r>
    <s v="No"/>
    <s v="Travel_Rarely"/>
    <x v="2"/>
    <s v="Current Employees"/>
    <x v="0"/>
    <x v="2"/>
    <s v="STAFF-1915"/>
    <n v="1915"/>
    <x v="0"/>
    <x v="0"/>
    <x v="1"/>
    <s v="Yes"/>
    <s v="Y"/>
    <n v="3"/>
    <n v="-2"/>
    <n v="0"/>
    <n v="34"/>
    <n v="0"/>
    <m/>
    <n v="0"/>
    <n v="1"/>
    <n v="735"/>
    <n v="3"/>
    <x v="1"/>
    <n v="1"/>
    <n v="4"/>
    <n v="75"/>
    <n v="2"/>
    <n v="2"/>
    <n v="4"/>
    <n v="8103"/>
    <n v="16495"/>
    <n v="3"/>
    <n v="12"/>
    <x v="0"/>
    <n v="3"/>
    <n v="80"/>
    <n v="0"/>
    <n v="9"/>
    <n v="2"/>
    <n v="4"/>
    <n v="2"/>
    <n v="0"/>
    <n v="1"/>
  </r>
  <r>
    <s v="No"/>
    <s v="Travel_Rarely"/>
    <x v="0"/>
    <s v="Current Employees"/>
    <x v="0"/>
    <x v="4"/>
    <s v="STAFF-1880"/>
    <n v="1880"/>
    <x v="0"/>
    <x v="0"/>
    <x v="1"/>
    <s v="Yes"/>
    <s v="Y"/>
    <n v="4"/>
    <n v="-2"/>
    <n v="0"/>
    <n v="36"/>
    <n v="0"/>
    <m/>
    <n v="0"/>
    <n v="1"/>
    <n v="1266"/>
    <n v="10"/>
    <x v="2"/>
    <n v="1"/>
    <n v="4"/>
    <n v="63"/>
    <n v="2"/>
    <n v="2"/>
    <n v="4"/>
    <n v="5673"/>
    <n v="6060"/>
    <n v="1"/>
    <n v="13"/>
    <x v="0"/>
    <n v="1"/>
    <n v="80"/>
    <n v="1"/>
    <n v="10"/>
    <n v="3"/>
    <n v="10"/>
    <n v="9"/>
    <n v="1"/>
    <n v="7"/>
  </r>
  <r>
    <s v="No"/>
    <s v="Travel_Rarely"/>
    <x v="1"/>
    <s v="Current Employees"/>
    <x v="0"/>
    <x v="2"/>
    <s v="STAFF-1503"/>
    <n v="1503"/>
    <x v="0"/>
    <x v="0"/>
    <x v="1"/>
    <s v="Yes"/>
    <s v="Y"/>
    <n v="4"/>
    <n v="-2"/>
    <n v="0"/>
    <n v="47"/>
    <n v="0"/>
    <m/>
    <n v="0"/>
    <n v="1"/>
    <n v="571"/>
    <n v="14"/>
    <x v="3"/>
    <n v="1"/>
    <n v="3"/>
    <n v="78"/>
    <n v="3"/>
    <n v="2"/>
    <n v="3"/>
    <n v="4591"/>
    <n v="24200"/>
    <n v="3"/>
    <n v="17"/>
    <x v="0"/>
    <n v="3"/>
    <n v="80"/>
    <n v="1"/>
    <n v="11"/>
    <n v="2"/>
    <n v="5"/>
    <n v="4"/>
    <n v="1"/>
    <n v="2"/>
  </r>
  <r>
    <s v="No"/>
    <s v="Travel_Rarely"/>
    <x v="3"/>
    <s v="Current Employees"/>
    <x v="0"/>
    <x v="0"/>
    <s v="STAFF-1938"/>
    <n v="1938"/>
    <x v="0"/>
    <x v="5"/>
    <x v="1"/>
    <s v="Yes"/>
    <s v="Y"/>
    <n v="2"/>
    <n v="-2"/>
    <n v="0"/>
    <n v="58"/>
    <n v="0"/>
    <m/>
    <n v="0"/>
    <n v="1"/>
    <n v="605"/>
    <n v="21"/>
    <x v="3"/>
    <n v="1"/>
    <n v="4"/>
    <n v="72"/>
    <n v="3"/>
    <n v="4"/>
    <n v="4"/>
    <n v="17875"/>
    <n v="11761"/>
    <n v="4"/>
    <n v="13"/>
    <x v="0"/>
    <n v="3"/>
    <n v="80"/>
    <n v="1"/>
    <n v="29"/>
    <n v="2"/>
    <n v="1"/>
    <n v="0"/>
    <n v="0"/>
    <n v="0"/>
  </r>
  <r>
    <s v="No"/>
    <s v="Travel_Rarely"/>
    <x v="4"/>
    <s v="Current Employees"/>
    <x v="0"/>
    <x v="2"/>
    <s v="STAFF-1445"/>
    <n v="1445"/>
    <x v="0"/>
    <x v="0"/>
    <x v="1"/>
    <s v="Yes"/>
    <s v="Y"/>
    <n v="3"/>
    <n v="-2"/>
    <n v="0"/>
    <n v="24"/>
    <n v="0"/>
    <m/>
    <n v="0"/>
    <n v="1"/>
    <n v="1476"/>
    <n v="4"/>
    <x v="1"/>
    <n v="1"/>
    <n v="4"/>
    <n v="42"/>
    <n v="3"/>
    <n v="2"/>
    <n v="3"/>
    <n v="4162"/>
    <n v="15211"/>
    <n v="1"/>
    <n v="12"/>
    <x v="0"/>
    <n v="3"/>
    <n v="80"/>
    <n v="2"/>
    <n v="5"/>
    <n v="3"/>
    <n v="5"/>
    <n v="4"/>
    <n v="0"/>
    <n v="3"/>
  </r>
  <r>
    <s v="No"/>
    <s v="Travel_Rarely"/>
    <x v="0"/>
    <s v="Current Employees"/>
    <x v="0"/>
    <x v="3"/>
    <s v="STAFF-1425"/>
    <n v="1425"/>
    <x v="0"/>
    <x v="0"/>
    <x v="0"/>
    <s v="Yes"/>
    <s v="Y"/>
    <n v="3"/>
    <n v="-2"/>
    <n v="0"/>
    <n v="36"/>
    <n v="0"/>
    <m/>
    <n v="0"/>
    <n v="1"/>
    <n v="1174"/>
    <n v="3"/>
    <x v="2"/>
    <n v="1"/>
    <n v="1"/>
    <n v="99"/>
    <n v="3"/>
    <n v="2"/>
    <n v="1"/>
    <n v="9278"/>
    <n v="20763"/>
    <n v="3"/>
    <n v="16"/>
    <x v="0"/>
    <n v="4"/>
    <n v="80"/>
    <n v="0"/>
    <n v="15"/>
    <n v="3"/>
    <n v="5"/>
    <n v="4"/>
    <n v="0"/>
    <n v="1"/>
  </r>
  <r>
    <s v="No"/>
    <s v="Non-Travel"/>
    <x v="0"/>
    <s v="Current Employees"/>
    <x v="1"/>
    <x v="0"/>
    <s v="STAFF-1552"/>
    <n v="1552"/>
    <x v="1"/>
    <x v="4"/>
    <x v="2"/>
    <s v="Yes"/>
    <s v="Y"/>
    <n v="2"/>
    <n v="-2"/>
    <n v="0"/>
    <n v="40"/>
    <n v="0"/>
    <m/>
    <n v="0"/>
    <n v="1"/>
    <n v="1142"/>
    <n v="8"/>
    <x v="0"/>
    <n v="1"/>
    <n v="4"/>
    <n v="72"/>
    <n v="3"/>
    <n v="2"/>
    <n v="4"/>
    <n v="4069"/>
    <n v="8841"/>
    <n v="3"/>
    <n v="18"/>
    <x v="0"/>
    <n v="3"/>
    <n v="80"/>
    <n v="0"/>
    <n v="8"/>
    <n v="3"/>
    <n v="2"/>
    <n v="2"/>
    <n v="2"/>
    <n v="2"/>
  </r>
  <r>
    <s v="No"/>
    <s v="Non-Travel"/>
    <x v="2"/>
    <s v="Current Employees"/>
    <x v="1"/>
    <x v="2"/>
    <s v="STAFF-1948"/>
    <n v="1948"/>
    <x v="1"/>
    <x v="1"/>
    <x v="2"/>
    <s v="Yes"/>
    <s v="Y"/>
    <n v="3"/>
    <n v="-2"/>
    <n v="0"/>
    <n v="31"/>
    <n v="0"/>
    <m/>
    <n v="0"/>
    <n v="1"/>
    <n v="976"/>
    <n v="3"/>
    <x v="0"/>
    <n v="1"/>
    <n v="3"/>
    <n v="48"/>
    <n v="3"/>
    <n v="1"/>
    <n v="1"/>
    <n v="3065"/>
    <n v="3995"/>
    <n v="1"/>
    <n v="13"/>
    <x v="0"/>
    <n v="4"/>
    <n v="80"/>
    <n v="1"/>
    <n v="4"/>
    <n v="4"/>
    <n v="4"/>
    <n v="2"/>
    <n v="2"/>
    <n v="3"/>
  </r>
  <r>
    <s v="No"/>
    <s v="Non-Travel"/>
    <x v="0"/>
    <s v="Current Employees"/>
    <x v="1"/>
    <x v="0"/>
    <s v="STAFF-1737"/>
    <n v="1737"/>
    <x v="1"/>
    <x v="2"/>
    <x v="1"/>
    <s v="Yes"/>
    <s v="Y"/>
    <n v="2"/>
    <n v="-2"/>
    <n v="0"/>
    <n v="39"/>
    <n v="0"/>
    <m/>
    <n v="0"/>
    <n v="1"/>
    <n v="792"/>
    <n v="1"/>
    <x v="3"/>
    <n v="1"/>
    <n v="4"/>
    <n v="77"/>
    <n v="3"/>
    <n v="2"/>
    <n v="4"/>
    <n v="6472"/>
    <n v="8989"/>
    <n v="1"/>
    <n v="15"/>
    <x v="0"/>
    <n v="4"/>
    <n v="80"/>
    <n v="1"/>
    <n v="9"/>
    <n v="3"/>
    <n v="9"/>
    <n v="8"/>
    <n v="5"/>
    <n v="8"/>
  </r>
  <r>
    <s v="No"/>
    <s v="Non-Travel"/>
    <x v="2"/>
    <s v="Current Employees"/>
    <x v="0"/>
    <x v="0"/>
    <s v="STAFF-1774"/>
    <n v="1774"/>
    <x v="1"/>
    <x v="0"/>
    <x v="2"/>
    <s v="Yes"/>
    <s v="Y"/>
    <n v="3"/>
    <n v="-2"/>
    <n v="0"/>
    <n v="34"/>
    <n v="0"/>
    <m/>
    <n v="0"/>
    <n v="1"/>
    <n v="1375"/>
    <n v="10"/>
    <x v="3"/>
    <n v="1"/>
    <n v="4"/>
    <n v="87"/>
    <n v="3"/>
    <n v="2"/>
    <n v="3"/>
    <n v="4001"/>
    <n v="12313"/>
    <n v="1"/>
    <n v="14"/>
    <x v="0"/>
    <n v="3"/>
    <n v="80"/>
    <n v="1"/>
    <n v="15"/>
    <n v="3"/>
    <n v="15"/>
    <n v="14"/>
    <n v="0"/>
    <n v="7"/>
  </r>
  <r>
    <s v="No"/>
    <s v="Travel_Frequently"/>
    <x v="0"/>
    <s v="Current Employees"/>
    <x v="2"/>
    <x v="5"/>
    <s v="STAFF-1642"/>
    <n v="1642"/>
    <x v="1"/>
    <x v="8"/>
    <x v="1"/>
    <s v="Yes"/>
    <s v="Y"/>
    <n v="3"/>
    <n v="-2"/>
    <n v="0"/>
    <n v="44"/>
    <n v="0"/>
    <m/>
    <n v="0"/>
    <n v="1"/>
    <n v="602"/>
    <n v="1"/>
    <x v="4"/>
    <n v="1"/>
    <n v="1"/>
    <n v="37"/>
    <n v="3"/>
    <n v="2"/>
    <n v="4"/>
    <n v="5743"/>
    <n v="10503"/>
    <n v="4"/>
    <n v="11"/>
    <x v="0"/>
    <n v="3"/>
    <n v="80"/>
    <n v="0"/>
    <n v="14"/>
    <n v="3"/>
    <n v="10"/>
    <n v="7"/>
    <n v="0"/>
    <n v="2"/>
  </r>
  <r>
    <s v="No"/>
    <s v="Travel_Frequently"/>
    <x v="0"/>
    <s v="Current Employees"/>
    <x v="2"/>
    <x v="1"/>
    <s v="STAFF-1972"/>
    <n v="1972"/>
    <x v="1"/>
    <x v="8"/>
    <x v="1"/>
    <s v="Yes"/>
    <s v="Y"/>
    <n v="2"/>
    <n v="-2"/>
    <n v="0"/>
    <n v="38"/>
    <n v="0"/>
    <m/>
    <n v="0"/>
    <n v="1"/>
    <n v="1444"/>
    <n v="1"/>
    <x v="2"/>
    <n v="1"/>
    <n v="4"/>
    <n v="88"/>
    <n v="3"/>
    <n v="1"/>
    <n v="2"/>
    <n v="2991"/>
    <n v="5224"/>
    <n v="0"/>
    <n v="11"/>
    <x v="0"/>
    <n v="2"/>
    <n v="80"/>
    <n v="1"/>
    <n v="7"/>
    <n v="3"/>
    <n v="6"/>
    <n v="2"/>
    <n v="1"/>
    <n v="2"/>
  </r>
  <r>
    <s v="No"/>
    <s v="Travel_Frequently"/>
    <x v="3"/>
    <s v="Current Employees"/>
    <x v="1"/>
    <x v="0"/>
    <s v="STAFF-1837"/>
    <n v="1837"/>
    <x v="1"/>
    <x v="7"/>
    <x v="1"/>
    <s v="Yes"/>
    <s v="Y"/>
    <n v="3"/>
    <n v="-2"/>
    <n v="0"/>
    <n v="58"/>
    <n v="0"/>
    <m/>
    <n v="0"/>
    <n v="1"/>
    <n v="1216"/>
    <n v="15"/>
    <x v="2"/>
    <n v="1"/>
    <n v="1"/>
    <n v="87"/>
    <n v="3"/>
    <n v="4"/>
    <n v="3"/>
    <n v="15787"/>
    <n v="21624"/>
    <n v="2"/>
    <n v="14"/>
    <x v="0"/>
    <n v="2"/>
    <n v="80"/>
    <n v="0"/>
    <n v="23"/>
    <n v="3"/>
    <n v="2"/>
    <n v="2"/>
    <n v="2"/>
    <n v="2"/>
  </r>
  <r>
    <s v="No"/>
    <s v="Travel_Frequently"/>
    <x v="2"/>
    <s v="Current Employees"/>
    <x v="1"/>
    <x v="1"/>
    <s v="STAFF-1932"/>
    <n v="1932"/>
    <x v="1"/>
    <x v="1"/>
    <x v="1"/>
    <s v="Yes"/>
    <s v="Y"/>
    <n v="3"/>
    <n v="-2"/>
    <n v="0"/>
    <n v="34"/>
    <n v="0"/>
    <m/>
    <n v="0"/>
    <n v="1"/>
    <n v="735"/>
    <n v="22"/>
    <x v="2"/>
    <n v="1"/>
    <n v="3"/>
    <n v="86"/>
    <n v="2"/>
    <n v="2"/>
    <n v="4"/>
    <n v="5747"/>
    <n v="26496"/>
    <n v="1"/>
    <n v="15"/>
    <x v="0"/>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x v="0"/>
    <n v="4"/>
    <n v="80"/>
    <n v="1"/>
    <n v="9"/>
    <n v="3"/>
    <n v="3"/>
    <n v="2"/>
    <n v="0"/>
    <n v="2"/>
  </r>
  <r>
    <s v="No"/>
    <s v="Travel_Frequently"/>
    <x v="1"/>
    <s v="Current Employees"/>
    <x v="1"/>
    <x v="2"/>
    <s v="STAFF-1606"/>
    <n v="1606"/>
    <x v="1"/>
    <x v="4"/>
    <x v="1"/>
    <s v="Yes"/>
    <s v="Y"/>
    <n v="3"/>
    <n v="-2"/>
    <n v="0"/>
    <n v="50"/>
    <n v="0"/>
    <m/>
    <n v="0"/>
    <n v="1"/>
    <n v="1234"/>
    <n v="20"/>
    <x v="4"/>
    <n v="1"/>
    <n v="2"/>
    <n v="41"/>
    <n v="3"/>
    <n v="4"/>
    <n v="3"/>
    <n v="11245"/>
    <n v="20689"/>
    <n v="2"/>
    <n v="15"/>
    <x v="0"/>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x v="0"/>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x v="0"/>
    <n v="4"/>
    <n v="80"/>
    <n v="2"/>
    <n v="10"/>
    <n v="4"/>
    <n v="10"/>
    <n v="2"/>
    <n v="0"/>
    <n v="2"/>
  </r>
  <r>
    <s v="No"/>
    <s v="Travel_Frequently"/>
    <x v="0"/>
    <s v="Current Employees"/>
    <x v="1"/>
    <x v="2"/>
    <s v="STAFF-1704"/>
    <n v="1704"/>
    <x v="1"/>
    <x v="1"/>
    <x v="0"/>
    <s v="Yes"/>
    <s v="Y"/>
    <n v="2"/>
    <n v="-2"/>
    <n v="0"/>
    <n v="35"/>
    <n v="0"/>
    <m/>
    <n v="0"/>
    <n v="1"/>
    <n v="146"/>
    <n v="2"/>
    <x v="2"/>
    <n v="1"/>
    <n v="1"/>
    <n v="79"/>
    <n v="2"/>
    <n v="1"/>
    <n v="4"/>
    <n v="4930"/>
    <n v="13970"/>
    <n v="0"/>
    <n v="14"/>
    <x v="0"/>
    <n v="3"/>
    <n v="80"/>
    <n v="0"/>
    <n v="6"/>
    <n v="4"/>
    <n v="5"/>
    <n v="4"/>
    <n v="1"/>
    <n v="4"/>
  </r>
  <r>
    <s v="No"/>
    <s v="Travel_Frequently"/>
    <x v="0"/>
    <s v="Current Employees"/>
    <x v="1"/>
    <x v="2"/>
    <s v="STAFF-1496"/>
    <n v="1496"/>
    <x v="1"/>
    <x v="3"/>
    <x v="0"/>
    <s v="Yes"/>
    <s v="Y"/>
    <n v="2"/>
    <n v="-2"/>
    <n v="0"/>
    <n v="44"/>
    <n v="0"/>
    <m/>
    <n v="0"/>
    <n v="1"/>
    <n v="1193"/>
    <n v="2"/>
    <x v="1"/>
    <n v="1"/>
    <n v="2"/>
    <n v="86"/>
    <n v="3"/>
    <n v="3"/>
    <n v="3"/>
    <n v="10209"/>
    <n v="19719"/>
    <n v="5"/>
    <n v="18"/>
    <x v="0"/>
    <n v="2"/>
    <n v="80"/>
    <n v="0"/>
    <n v="16"/>
    <n v="2"/>
    <n v="2"/>
    <n v="2"/>
    <n v="2"/>
    <n v="2"/>
  </r>
  <r>
    <s v="No"/>
    <s v="Travel_Frequently"/>
    <x v="1"/>
    <s v="Current Employees"/>
    <x v="1"/>
    <x v="2"/>
    <s v="STAFF-1539"/>
    <n v="1539"/>
    <x v="1"/>
    <x v="7"/>
    <x v="0"/>
    <s v="Yes"/>
    <s v="Y"/>
    <n v="2"/>
    <n v="-2"/>
    <n v="0"/>
    <n v="50"/>
    <n v="0"/>
    <m/>
    <n v="0"/>
    <n v="1"/>
    <n v="333"/>
    <n v="22"/>
    <x v="4"/>
    <n v="1"/>
    <n v="3"/>
    <n v="88"/>
    <n v="1"/>
    <n v="4"/>
    <n v="4"/>
    <n v="14411"/>
    <n v="24450"/>
    <n v="1"/>
    <n v="13"/>
    <x v="0"/>
    <n v="4"/>
    <n v="80"/>
    <n v="0"/>
    <n v="32"/>
    <n v="3"/>
    <n v="32"/>
    <n v="6"/>
    <n v="13"/>
    <n v="9"/>
  </r>
  <r>
    <s v="No"/>
    <s v="Travel_Frequently"/>
    <x v="2"/>
    <s v="Current Employees"/>
    <x v="1"/>
    <x v="0"/>
    <s v="STAFF-1753"/>
    <n v="1753"/>
    <x v="1"/>
    <x v="4"/>
    <x v="0"/>
    <s v="Yes"/>
    <s v="Y"/>
    <n v="5"/>
    <n v="-2"/>
    <n v="0"/>
    <n v="29"/>
    <n v="0"/>
    <m/>
    <n v="0"/>
    <n v="1"/>
    <n v="461"/>
    <n v="1"/>
    <x v="3"/>
    <n v="1"/>
    <n v="4"/>
    <n v="70"/>
    <n v="4"/>
    <n v="2"/>
    <n v="3"/>
    <n v="6294"/>
    <n v="23060"/>
    <n v="8"/>
    <n v="12"/>
    <x v="0"/>
    <n v="4"/>
    <n v="80"/>
    <n v="0"/>
    <n v="10"/>
    <n v="4"/>
    <n v="3"/>
    <n v="2"/>
    <n v="0"/>
    <n v="2"/>
  </r>
  <r>
    <s v="No"/>
    <s v="Travel_Frequently"/>
    <x v="2"/>
    <s v="Current Employees"/>
    <x v="0"/>
    <x v="0"/>
    <s v="STAFF-1927"/>
    <n v="1927"/>
    <x v="1"/>
    <x v="0"/>
    <x v="1"/>
    <s v="Yes"/>
    <s v="Y"/>
    <n v="2"/>
    <n v="-2"/>
    <n v="0"/>
    <n v="28"/>
    <n v="0"/>
    <m/>
    <n v="0"/>
    <n v="1"/>
    <n v="783"/>
    <n v="1"/>
    <x v="0"/>
    <n v="1"/>
    <n v="3"/>
    <n v="42"/>
    <n v="2"/>
    <n v="2"/>
    <n v="4"/>
    <n v="6834"/>
    <n v="19255"/>
    <n v="1"/>
    <n v="12"/>
    <x v="0"/>
    <n v="3"/>
    <n v="80"/>
    <n v="1"/>
    <n v="7"/>
    <n v="3"/>
    <n v="7"/>
    <n v="7"/>
    <n v="0"/>
    <n v="7"/>
  </r>
  <r>
    <s v="No"/>
    <s v="Travel_Rarely"/>
    <x v="3"/>
    <s v="Current Employees"/>
    <x v="2"/>
    <x v="5"/>
    <s v="STAFF-1973"/>
    <n v="1973"/>
    <x v="1"/>
    <x v="5"/>
    <x v="1"/>
    <s v="Yes"/>
    <s v="Y"/>
    <n v="0"/>
    <n v="-2"/>
    <n v="0"/>
    <n v="55"/>
    <n v="0"/>
    <m/>
    <n v="0"/>
    <n v="1"/>
    <n v="189"/>
    <n v="26"/>
    <x v="2"/>
    <n v="1"/>
    <n v="3"/>
    <n v="71"/>
    <n v="4"/>
    <n v="5"/>
    <n v="2"/>
    <n v="19636"/>
    <n v="25811"/>
    <n v="4"/>
    <n v="18"/>
    <x v="0"/>
    <n v="1"/>
    <n v="80"/>
    <n v="1"/>
    <n v="35"/>
    <n v="3"/>
    <n v="10"/>
    <n v="9"/>
    <n v="1"/>
    <n v="4"/>
  </r>
  <r>
    <s v="No"/>
    <s v="Travel_Rarely"/>
    <x v="1"/>
    <s v="Current Employees"/>
    <x v="1"/>
    <x v="2"/>
    <s v="STAFF-1460"/>
    <n v="1460"/>
    <x v="1"/>
    <x v="4"/>
    <x v="2"/>
    <s v="Yes"/>
    <s v="Y"/>
    <n v="2"/>
    <n v="-2"/>
    <n v="0"/>
    <n v="45"/>
    <n v="0"/>
    <m/>
    <n v="0"/>
    <n v="1"/>
    <n v="1038"/>
    <n v="20"/>
    <x v="3"/>
    <n v="1"/>
    <n v="2"/>
    <n v="95"/>
    <n v="1"/>
    <n v="3"/>
    <n v="1"/>
    <n v="10851"/>
    <n v="19863"/>
    <n v="2"/>
    <n v="18"/>
    <x v="0"/>
    <n v="2"/>
    <n v="80"/>
    <n v="1"/>
    <n v="24"/>
    <n v="3"/>
    <n v="7"/>
    <n v="7"/>
    <n v="0"/>
    <n v="7"/>
  </r>
  <r>
    <s v="No"/>
    <s v="Travel_Rarely"/>
    <x v="1"/>
    <s v="Current Employees"/>
    <x v="1"/>
    <x v="2"/>
    <s v="STAFF-1789"/>
    <n v="1789"/>
    <x v="1"/>
    <x v="7"/>
    <x v="2"/>
    <s v="Yes"/>
    <s v="Y"/>
    <n v="3"/>
    <n v="-2"/>
    <n v="0"/>
    <n v="46"/>
    <n v="0"/>
    <m/>
    <n v="0"/>
    <n v="1"/>
    <n v="734"/>
    <n v="2"/>
    <x v="2"/>
    <n v="1"/>
    <n v="3"/>
    <n v="46"/>
    <n v="3"/>
    <n v="5"/>
    <n v="4"/>
    <n v="19328"/>
    <n v="14218"/>
    <n v="7"/>
    <n v="17"/>
    <x v="0"/>
    <n v="3"/>
    <n v="80"/>
    <n v="1"/>
    <n v="24"/>
    <n v="3"/>
    <n v="2"/>
    <n v="1"/>
    <n v="2"/>
    <n v="2"/>
  </r>
  <r>
    <s v="No"/>
    <s v="Travel_Rarely"/>
    <x v="0"/>
    <s v="Current Employees"/>
    <x v="1"/>
    <x v="0"/>
    <s v="STAFF-1998"/>
    <n v="1998"/>
    <x v="1"/>
    <x v="1"/>
    <x v="2"/>
    <s v="Yes"/>
    <s v="Y"/>
    <n v="3"/>
    <n v="-2"/>
    <n v="0"/>
    <n v="42"/>
    <n v="0"/>
    <m/>
    <n v="0"/>
    <n v="1"/>
    <n v="557"/>
    <n v="18"/>
    <x v="2"/>
    <n v="1"/>
    <n v="4"/>
    <n v="35"/>
    <n v="3"/>
    <n v="2"/>
    <n v="1"/>
    <n v="5410"/>
    <n v="11189"/>
    <n v="6"/>
    <n v="17"/>
    <x v="0"/>
    <n v="3"/>
    <n v="80"/>
    <n v="1"/>
    <n v="9"/>
    <n v="2"/>
    <n v="4"/>
    <n v="3"/>
    <n v="1"/>
    <n v="2"/>
  </r>
  <r>
    <s v="No"/>
    <s v="Travel_Rarely"/>
    <x v="2"/>
    <s v="Current Employees"/>
    <x v="1"/>
    <x v="1"/>
    <s v="STAFF-1992"/>
    <n v="1992"/>
    <x v="1"/>
    <x v="2"/>
    <x v="2"/>
    <s v="Yes"/>
    <s v="Y"/>
    <n v="2"/>
    <n v="-2"/>
    <n v="0"/>
    <n v="25"/>
    <n v="0"/>
    <m/>
    <n v="0"/>
    <n v="1"/>
    <n v="977"/>
    <n v="2"/>
    <x v="1"/>
    <n v="1"/>
    <n v="4"/>
    <n v="57"/>
    <n v="3"/>
    <n v="1"/>
    <n v="3"/>
    <n v="3977"/>
    <n v="7298"/>
    <n v="6"/>
    <n v="19"/>
    <x v="0"/>
    <n v="3"/>
    <n v="80"/>
    <n v="1"/>
    <n v="7"/>
    <n v="2"/>
    <n v="2"/>
    <n v="2"/>
    <n v="0"/>
    <n v="2"/>
  </r>
  <r>
    <s v="No"/>
    <s v="Travel_Rarely"/>
    <x v="0"/>
    <s v="Current Employees"/>
    <x v="1"/>
    <x v="2"/>
    <s v="STAFF-1448"/>
    <n v="1448"/>
    <x v="1"/>
    <x v="1"/>
    <x v="1"/>
    <s v="Yes"/>
    <s v="Y"/>
    <n v="5"/>
    <n v="-2"/>
    <n v="0"/>
    <n v="41"/>
    <n v="0"/>
    <m/>
    <n v="0"/>
    <n v="1"/>
    <n v="1283"/>
    <n v="5"/>
    <x v="4"/>
    <n v="1"/>
    <n v="2"/>
    <n v="90"/>
    <n v="4"/>
    <n v="1"/>
    <n v="3"/>
    <n v="2127"/>
    <n v="5561"/>
    <n v="2"/>
    <n v="12"/>
    <x v="0"/>
    <n v="1"/>
    <n v="80"/>
    <n v="0"/>
    <n v="7"/>
    <n v="2"/>
    <n v="4"/>
    <n v="2"/>
    <n v="0"/>
    <n v="3"/>
  </r>
  <r>
    <s v="No"/>
    <s v="Travel_Rarely"/>
    <x v="3"/>
    <s v="Current Employees"/>
    <x v="1"/>
    <x v="0"/>
    <s v="STAFF-1501"/>
    <n v="1501"/>
    <x v="1"/>
    <x v="4"/>
    <x v="1"/>
    <s v="Yes"/>
    <s v="Y"/>
    <n v="2"/>
    <n v="-2"/>
    <n v="0"/>
    <n v="55"/>
    <n v="0"/>
    <m/>
    <n v="0"/>
    <n v="1"/>
    <n v="1229"/>
    <n v="4"/>
    <x v="2"/>
    <n v="1"/>
    <n v="4"/>
    <n v="30"/>
    <n v="3"/>
    <n v="2"/>
    <n v="3"/>
    <n v="4035"/>
    <n v="16143"/>
    <n v="0"/>
    <n v="16"/>
    <x v="0"/>
    <n v="2"/>
    <n v="80"/>
    <n v="0"/>
    <n v="4"/>
    <n v="3"/>
    <n v="3"/>
    <n v="2"/>
    <n v="1"/>
    <n v="2"/>
  </r>
  <r>
    <s v="No"/>
    <s v="Travel_Rarely"/>
    <x v="0"/>
    <s v="Current Employees"/>
    <x v="1"/>
    <x v="2"/>
    <s v="STAFF-1766"/>
    <n v="1766"/>
    <x v="1"/>
    <x v="4"/>
    <x v="1"/>
    <s v="Yes"/>
    <s v="Y"/>
    <n v="2"/>
    <n v="-2"/>
    <n v="0"/>
    <n v="38"/>
    <n v="0"/>
    <m/>
    <n v="0"/>
    <n v="1"/>
    <n v="833"/>
    <n v="18"/>
    <x v="3"/>
    <n v="1"/>
    <n v="2"/>
    <n v="60"/>
    <n v="1"/>
    <n v="2"/>
    <n v="4"/>
    <n v="5811"/>
    <n v="24539"/>
    <n v="3"/>
    <n v="16"/>
    <x v="0"/>
    <n v="3"/>
    <n v="80"/>
    <n v="1"/>
    <n v="15"/>
    <n v="3"/>
    <n v="1"/>
    <n v="0"/>
    <n v="1"/>
    <n v="0"/>
  </r>
  <r>
    <s v="No"/>
    <s v="Travel_Rarely"/>
    <x v="2"/>
    <s v="Current Employees"/>
    <x v="1"/>
    <x v="0"/>
    <s v="STAFF-1549"/>
    <n v="1549"/>
    <x v="1"/>
    <x v="2"/>
    <x v="1"/>
    <s v="Yes"/>
    <s v="Y"/>
    <n v="3"/>
    <n v="-2"/>
    <n v="0"/>
    <n v="33"/>
    <n v="0"/>
    <m/>
    <n v="0"/>
    <n v="1"/>
    <n v="589"/>
    <n v="28"/>
    <x v="2"/>
    <n v="1"/>
    <n v="2"/>
    <n v="79"/>
    <n v="3"/>
    <n v="2"/>
    <n v="3"/>
    <n v="5207"/>
    <n v="22949"/>
    <n v="1"/>
    <n v="12"/>
    <x v="0"/>
    <n v="2"/>
    <n v="80"/>
    <n v="1"/>
    <n v="15"/>
    <n v="3"/>
    <n v="15"/>
    <n v="14"/>
    <n v="5"/>
    <n v="7"/>
  </r>
  <r>
    <s v="No"/>
    <s v="Travel_Rarely"/>
    <x v="2"/>
    <s v="Current Employees"/>
    <x v="1"/>
    <x v="1"/>
    <s v="STAFF-2053"/>
    <n v="2053"/>
    <x v="1"/>
    <x v="2"/>
    <x v="1"/>
    <s v="Yes"/>
    <s v="Y"/>
    <n v="2"/>
    <n v="-2"/>
    <n v="0"/>
    <n v="29"/>
    <n v="0"/>
    <m/>
    <n v="0"/>
    <n v="1"/>
    <n v="1378"/>
    <n v="13"/>
    <x v="0"/>
    <n v="1"/>
    <n v="4"/>
    <n v="46"/>
    <n v="2"/>
    <n v="2"/>
    <n v="2"/>
    <n v="4025"/>
    <n v="23679"/>
    <n v="4"/>
    <n v="13"/>
    <x v="0"/>
    <n v="1"/>
    <n v="80"/>
    <n v="1"/>
    <n v="10"/>
    <n v="3"/>
    <n v="4"/>
    <n v="3"/>
    <n v="0"/>
    <n v="3"/>
  </r>
  <r>
    <s v="No"/>
    <s v="Travel_Rarely"/>
    <x v="0"/>
    <s v="Current Employees"/>
    <x v="1"/>
    <x v="0"/>
    <s v="STAFF-1790"/>
    <n v="1790"/>
    <x v="1"/>
    <x v="4"/>
    <x v="1"/>
    <s v="Yes"/>
    <s v="Y"/>
    <n v="1"/>
    <n v="-2"/>
    <n v="0"/>
    <n v="36"/>
    <n v="0"/>
    <m/>
    <n v="0"/>
    <n v="1"/>
    <n v="1383"/>
    <n v="10"/>
    <x v="3"/>
    <n v="1"/>
    <n v="4"/>
    <n v="90"/>
    <n v="3"/>
    <n v="3"/>
    <n v="1"/>
    <n v="8321"/>
    <n v="25949"/>
    <n v="7"/>
    <n v="13"/>
    <x v="0"/>
    <n v="4"/>
    <n v="80"/>
    <n v="1"/>
    <n v="15"/>
    <n v="3"/>
    <n v="12"/>
    <n v="8"/>
    <n v="5"/>
    <n v="7"/>
  </r>
  <r>
    <s v="No"/>
    <s v="Travel_Rarely"/>
    <x v="0"/>
    <s v="Current Employees"/>
    <x v="1"/>
    <x v="2"/>
    <s v="STAFF-2003"/>
    <n v="2003"/>
    <x v="1"/>
    <x v="2"/>
    <x v="1"/>
    <s v="Yes"/>
    <s v="Y"/>
    <n v="3"/>
    <n v="-2"/>
    <n v="0"/>
    <n v="35"/>
    <n v="0"/>
    <m/>
    <n v="0"/>
    <n v="1"/>
    <n v="1490"/>
    <n v="11"/>
    <x v="2"/>
    <n v="1"/>
    <n v="4"/>
    <n v="43"/>
    <n v="3"/>
    <n v="1"/>
    <n v="3"/>
    <n v="2660"/>
    <n v="20232"/>
    <n v="7"/>
    <n v="11"/>
    <x v="0"/>
    <n v="3"/>
    <n v="80"/>
    <n v="1"/>
    <n v="5"/>
    <n v="3"/>
    <n v="2"/>
    <n v="2"/>
    <n v="2"/>
    <n v="2"/>
  </r>
  <r>
    <s v="No"/>
    <s v="Travel_Rarely"/>
    <x v="1"/>
    <s v="Current Employees"/>
    <x v="1"/>
    <x v="4"/>
    <s v="STAFF-1465"/>
    <n v="1465"/>
    <x v="1"/>
    <x v="3"/>
    <x v="1"/>
    <s v="Yes"/>
    <s v="Y"/>
    <n v="4"/>
    <n v="-2"/>
    <n v="0"/>
    <n v="45"/>
    <n v="0"/>
    <m/>
    <n v="0"/>
    <n v="1"/>
    <n v="1448"/>
    <n v="29"/>
    <x v="3"/>
    <n v="1"/>
    <n v="4"/>
    <n v="55"/>
    <n v="3"/>
    <n v="3"/>
    <n v="4"/>
    <n v="9380"/>
    <n v="14720"/>
    <n v="4"/>
    <n v="18"/>
    <x v="0"/>
    <n v="4"/>
    <n v="80"/>
    <n v="2"/>
    <n v="10"/>
    <n v="4"/>
    <n v="3"/>
    <n v="1"/>
    <n v="1"/>
    <n v="2"/>
  </r>
  <r>
    <s v="No"/>
    <s v="Travel_Rarely"/>
    <x v="2"/>
    <s v="Current Employees"/>
    <x v="1"/>
    <x v="2"/>
    <s v="STAFF-1755"/>
    <n v="1755"/>
    <x v="1"/>
    <x v="1"/>
    <x v="1"/>
    <s v="Yes"/>
    <s v="Y"/>
    <n v="3"/>
    <n v="-2"/>
    <n v="0"/>
    <n v="34"/>
    <n v="0"/>
    <m/>
    <n v="0"/>
    <n v="1"/>
    <n v="181"/>
    <n v="2"/>
    <x v="2"/>
    <n v="1"/>
    <n v="4"/>
    <n v="97"/>
    <n v="4"/>
    <n v="1"/>
    <n v="4"/>
    <n v="2932"/>
    <n v="5586"/>
    <n v="0"/>
    <n v="14"/>
    <x v="0"/>
    <n v="1"/>
    <n v="80"/>
    <n v="3"/>
    <n v="6"/>
    <n v="3"/>
    <n v="5"/>
    <n v="0"/>
    <n v="1"/>
    <n v="2"/>
  </r>
  <r>
    <s v="No"/>
    <s v="Travel_Rarely"/>
    <x v="2"/>
    <s v="Current Employees"/>
    <x v="1"/>
    <x v="2"/>
    <s v="STAFF-1586"/>
    <n v="1586"/>
    <x v="1"/>
    <x v="2"/>
    <x v="0"/>
    <s v="Yes"/>
    <s v="Y"/>
    <n v="3"/>
    <n v="-2"/>
    <n v="0"/>
    <n v="29"/>
    <n v="0"/>
    <m/>
    <n v="0"/>
    <n v="1"/>
    <n v="1370"/>
    <n v="3"/>
    <x v="1"/>
    <n v="1"/>
    <n v="2"/>
    <n v="87"/>
    <n v="3"/>
    <n v="1"/>
    <n v="1"/>
    <n v="4723"/>
    <n v="16213"/>
    <n v="1"/>
    <n v="18"/>
    <x v="0"/>
    <n v="4"/>
    <n v="80"/>
    <n v="0"/>
    <n v="10"/>
    <n v="3"/>
    <n v="10"/>
    <n v="9"/>
    <n v="1"/>
    <n v="5"/>
  </r>
  <r>
    <s v="No"/>
    <s v="Travel_Rarely"/>
    <x v="0"/>
    <s v="Current Employees"/>
    <x v="1"/>
    <x v="2"/>
    <s v="STAFF-2020"/>
    <n v="2020"/>
    <x v="1"/>
    <x v="1"/>
    <x v="0"/>
    <s v="Yes"/>
    <s v="Y"/>
    <n v="2"/>
    <n v="-2"/>
    <n v="0"/>
    <n v="44"/>
    <n v="0"/>
    <m/>
    <n v="0"/>
    <n v="1"/>
    <n v="1037"/>
    <n v="1"/>
    <x v="3"/>
    <n v="1"/>
    <n v="2"/>
    <n v="42"/>
    <n v="3"/>
    <n v="1"/>
    <n v="4"/>
    <n v="2436"/>
    <n v="13422"/>
    <n v="6"/>
    <n v="12"/>
    <x v="0"/>
    <n v="3"/>
    <n v="80"/>
    <n v="0"/>
    <n v="6"/>
    <n v="3"/>
    <n v="4"/>
    <n v="3"/>
    <n v="1"/>
    <n v="2"/>
  </r>
  <r>
    <s v="No"/>
    <s v="Travel_Rarely"/>
    <x v="2"/>
    <s v="Current Employees"/>
    <x v="1"/>
    <x v="0"/>
    <s v="STAFF-1515"/>
    <n v="1515"/>
    <x v="1"/>
    <x v="4"/>
    <x v="0"/>
    <s v="Yes"/>
    <s v="Y"/>
    <n v="6"/>
    <n v="-2"/>
    <n v="0"/>
    <n v="33"/>
    <n v="0"/>
    <m/>
    <n v="0"/>
    <n v="1"/>
    <n v="516"/>
    <n v="8"/>
    <x v="4"/>
    <n v="1"/>
    <n v="4"/>
    <n v="69"/>
    <n v="3"/>
    <n v="2"/>
    <n v="3"/>
    <n v="6388"/>
    <n v="22049"/>
    <n v="2"/>
    <n v="17"/>
    <x v="0"/>
    <n v="1"/>
    <n v="80"/>
    <n v="0"/>
    <n v="14"/>
    <n v="3"/>
    <n v="0"/>
    <n v="0"/>
    <n v="0"/>
    <n v="0"/>
  </r>
  <r>
    <s v="No"/>
    <s v="Travel_Rarely"/>
    <x v="2"/>
    <s v="Current Employees"/>
    <x v="0"/>
    <x v="2"/>
    <s v="STAFF-1669"/>
    <n v="1669"/>
    <x v="1"/>
    <x v="0"/>
    <x v="2"/>
    <s v="Yes"/>
    <s v="Y"/>
    <n v="3"/>
    <n v="-2"/>
    <n v="0"/>
    <n v="29"/>
    <n v="0"/>
    <m/>
    <n v="0"/>
    <n v="1"/>
    <n v="991"/>
    <n v="5"/>
    <x v="3"/>
    <n v="1"/>
    <n v="1"/>
    <n v="43"/>
    <n v="2"/>
    <n v="2"/>
    <n v="2"/>
    <n v="4187"/>
    <n v="3356"/>
    <n v="1"/>
    <n v="13"/>
    <x v="0"/>
    <n v="2"/>
    <n v="80"/>
    <n v="1"/>
    <n v="10"/>
    <n v="2"/>
    <n v="10"/>
    <n v="0"/>
    <n v="0"/>
    <n v="9"/>
  </r>
  <r>
    <s v="No"/>
    <s v="Travel_Rarely"/>
    <x v="1"/>
    <s v="Current Employees"/>
    <x v="0"/>
    <x v="0"/>
    <s v="STAFF-1732"/>
    <n v="1732"/>
    <x v="1"/>
    <x v="0"/>
    <x v="2"/>
    <s v="Yes"/>
    <s v="Y"/>
    <n v="5"/>
    <n v="-2"/>
    <n v="0"/>
    <n v="46"/>
    <n v="0"/>
    <m/>
    <n v="0"/>
    <n v="1"/>
    <n v="1277"/>
    <n v="2"/>
    <x v="3"/>
    <n v="1"/>
    <n v="3"/>
    <n v="74"/>
    <n v="3"/>
    <n v="3"/>
    <n v="4"/>
    <n v="10368"/>
    <n v="5596"/>
    <n v="4"/>
    <n v="12"/>
    <x v="0"/>
    <n v="2"/>
    <n v="80"/>
    <n v="1"/>
    <n v="13"/>
    <n v="2"/>
    <n v="10"/>
    <n v="6"/>
    <n v="0"/>
    <n v="3"/>
  </r>
  <r>
    <s v="No"/>
    <s v="Travel_Rarely"/>
    <x v="0"/>
    <s v="Current Employees"/>
    <x v="0"/>
    <x v="3"/>
    <s v="STAFF-1943"/>
    <n v="1943"/>
    <x v="1"/>
    <x v="0"/>
    <x v="2"/>
    <s v="Yes"/>
    <s v="Y"/>
    <n v="4"/>
    <n v="-2"/>
    <n v="0"/>
    <n v="42"/>
    <n v="0"/>
    <m/>
    <n v="0"/>
    <n v="1"/>
    <n v="419"/>
    <n v="12"/>
    <x v="2"/>
    <n v="1"/>
    <n v="2"/>
    <n v="77"/>
    <n v="3"/>
    <n v="2"/>
    <n v="1"/>
    <n v="5087"/>
    <n v="2900"/>
    <n v="3"/>
    <n v="12"/>
    <x v="0"/>
    <n v="3"/>
    <n v="80"/>
    <n v="2"/>
    <n v="14"/>
    <n v="3"/>
    <n v="0"/>
    <n v="0"/>
    <n v="0"/>
    <n v="0"/>
  </r>
  <r>
    <s v="No"/>
    <s v="Travel_Rarely"/>
    <x v="2"/>
    <s v="Current Employees"/>
    <x v="0"/>
    <x v="4"/>
    <s v="STAFF-1535"/>
    <n v="1535"/>
    <x v="1"/>
    <x v="0"/>
    <x v="1"/>
    <s v="Yes"/>
    <s v="Y"/>
    <n v="3"/>
    <n v="-2"/>
    <n v="0"/>
    <n v="34"/>
    <n v="0"/>
    <m/>
    <n v="0"/>
    <n v="1"/>
    <n v="971"/>
    <n v="1"/>
    <x v="3"/>
    <n v="1"/>
    <n v="4"/>
    <n v="64"/>
    <n v="2"/>
    <n v="3"/>
    <n v="4"/>
    <n v="7083"/>
    <n v="12288"/>
    <n v="1"/>
    <n v="14"/>
    <x v="0"/>
    <n v="4"/>
    <n v="80"/>
    <n v="0"/>
    <n v="10"/>
    <n v="3"/>
    <n v="10"/>
    <n v="9"/>
    <n v="8"/>
    <n v="6"/>
  </r>
  <r>
    <s v="No"/>
    <s v="Travel_Rarely"/>
    <x v="1"/>
    <s v="Current Employees"/>
    <x v="0"/>
    <x v="3"/>
    <s v="STAFF-1591"/>
    <n v="1591"/>
    <x v="1"/>
    <x v="5"/>
    <x v="1"/>
    <s v="Yes"/>
    <s v="Y"/>
    <n v="2"/>
    <n v="-2"/>
    <n v="0"/>
    <n v="50"/>
    <n v="0"/>
    <m/>
    <n v="0"/>
    <n v="1"/>
    <n v="264"/>
    <n v="9"/>
    <x v="3"/>
    <n v="1"/>
    <n v="3"/>
    <n v="59"/>
    <n v="3"/>
    <n v="5"/>
    <n v="1"/>
    <n v="19331"/>
    <n v="19519"/>
    <n v="4"/>
    <n v="16"/>
    <x v="0"/>
    <n v="3"/>
    <n v="80"/>
    <n v="1"/>
    <n v="27"/>
    <n v="3"/>
    <n v="1"/>
    <n v="0"/>
    <n v="0"/>
    <n v="0"/>
  </r>
  <r>
    <s v="No"/>
    <s v="Travel_Rarely"/>
    <x v="0"/>
    <s v="Current Employees"/>
    <x v="0"/>
    <x v="2"/>
    <s v="STAFF-1706"/>
    <n v="1706"/>
    <x v="1"/>
    <x v="0"/>
    <x v="1"/>
    <s v="Yes"/>
    <s v="Y"/>
    <n v="3"/>
    <n v="-2"/>
    <n v="0"/>
    <n v="43"/>
    <n v="0"/>
    <m/>
    <n v="0"/>
    <n v="1"/>
    <n v="1179"/>
    <n v="2"/>
    <x v="3"/>
    <n v="1"/>
    <n v="4"/>
    <n v="73"/>
    <n v="3"/>
    <n v="2"/>
    <n v="4"/>
    <n v="7847"/>
    <n v="6069"/>
    <n v="1"/>
    <n v="17"/>
    <x v="0"/>
    <n v="1"/>
    <n v="80"/>
    <n v="1"/>
    <n v="10"/>
    <n v="3"/>
    <n v="10"/>
    <n v="9"/>
    <n v="8"/>
    <n v="8"/>
  </r>
  <r>
    <s v="No"/>
    <s v="Travel_Rarely"/>
    <x v="2"/>
    <s v="Current Employees"/>
    <x v="0"/>
    <x v="0"/>
    <s v="STAFF-1882"/>
    <n v="1882"/>
    <x v="1"/>
    <x v="0"/>
    <x v="1"/>
    <s v="Yes"/>
    <s v="Y"/>
    <n v="3"/>
    <n v="-2"/>
    <n v="0"/>
    <n v="34"/>
    <n v="0"/>
    <m/>
    <n v="0"/>
    <n v="1"/>
    <n v="1480"/>
    <n v="4"/>
    <x v="3"/>
    <n v="1"/>
    <n v="3"/>
    <n v="64"/>
    <n v="3"/>
    <n v="3"/>
    <n v="4"/>
    <n v="9713"/>
    <n v="24444"/>
    <n v="2"/>
    <n v="13"/>
    <x v="0"/>
    <n v="4"/>
    <n v="80"/>
    <n v="3"/>
    <n v="9"/>
    <n v="3"/>
    <n v="5"/>
    <n v="3"/>
    <n v="1"/>
    <n v="0"/>
  </r>
  <r>
    <s v="No"/>
    <s v="Travel_Rarely"/>
    <x v="4"/>
    <s v="Current Employees"/>
    <x v="0"/>
    <x v="2"/>
    <s v="STAFF-2021"/>
    <n v="2021"/>
    <x v="1"/>
    <x v="6"/>
    <x v="0"/>
    <s v="Yes"/>
    <s v="Y"/>
    <n v="6"/>
    <n v="-2"/>
    <n v="0"/>
    <n v="21"/>
    <n v="0"/>
    <m/>
    <n v="0"/>
    <n v="1"/>
    <n v="501"/>
    <n v="5"/>
    <x v="1"/>
    <n v="1"/>
    <n v="3"/>
    <n v="58"/>
    <n v="3"/>
    <n v="1"/>
    <n v="1"/>
    <n v="2380"/>
    <n v="25479"/>
    <n v="1"/>
    <n v="11"/>
    <x v="0"/>
    <n v="4"/>
    <n v="80"/>
    <n v="0"/>
    <n v="2"/>
    <n v="3"/>
    <n v="2"/>
    <n v="2"/>
    <n v="1"/>
    <n v="2"/>
  </r>
  <r>
    <s v="No"/>
    <s v="Travel_Rarely"/>
    <x v="0"/>
    <s v="Current Employees"/>
    <x v="0"/>
    <x v="0"/>
    <s v="STAFF-1678"/>
    <n v="1678"/>
    <x v="1"/>
    <x v="0"/>
    <x v="0"/>
    <s v="Yes"/>
    <s v="Y"/>
    <n v="2"/>
    <n v="-2"/>
    <n v="0"/>
    <n v="41"/>
    <n v="0"/>
    <m/>
    <n v="0"/>
    <n v="1"/>
    <n v="1206"/>
    <n v="23"/>
    <x v="0"/>
    <n v="1"/>
    <n v="4"/>
    <n v="80"/>
    <n v="3"/>
    <n v="3"/>
    <n v="3"/>
    <n v="7082"/>
    <n v="11591"/>
    <n v="3"/>
    <n v="16"/>
    <x v="0"/>
    <n v="4"/>
    <n v="80"/>
    <n v="0"/>
    <n v="21"/>
    <n v="3"/>
    <n v="2"/>
    <n v="0"/>
    <n v="0"/>
    <n v="2"/>
  </r>
  <r>
    <s v="No"/>
    <s v="Non-Travel"/>
    <x v="2"/>
    <s v="Current Employees"/>
    <x v="1"/>
    <x v="2"/>
    <s v="STAFF-1979"/>
    <n v="1979"/>
    <x v="0"/>
    <x v="7"/>
    <x v="1"/>
    <s v="No"/>
    <s v="Y"/>
    <n v="2"/>
    <n v="-2"/>
    <n v="0"/>
    <n v="31"/>
    <n v="0"/>
    <m/>
    <n v="0"/>
    <n v="1"/>
    <n v="697"/>
    <n v="10"/>
    <x v="3"/>
    <n v="1"/>
    <n v="3"/>
    <n v="40"/>
    <n v="3"/>
    <n v="3"/>
    <n v="3"/>
    <n v="11031"/>
    <n v="26862"/>
    <n v="4"/>
    <n v="20"/>
    <x v="1"/>
    <n v="3"/>
    <n v="80"/>
    <n v="1"/>
    <n v="13"/>
    <n v="4"/>
    <n v="11"/>
    <n v="7"/>
    <n v="4"/>
    <n v="8"/>
  </r>
  <r>
    <s v="No"/>
    <s v="Non-Travel"/>
    <x v="1"/>
    <s v="Current Employees"/>
    <x v="0"/>
    <x v="0"/>
    <s v="STAFF-1845"/>
    <n v="1845"/>
    <x v="0"/>
    <x v="0"/>
    <x v="1"/>
    <s v="No"/>
    <s v="Y"/>
    <n v="3"/>
    <n v="-2"/>
    <n v="0"/>
    <n v="45"/>
    <n v="0"/>
    <m/>
    <n v="0"/>
    <n v="1"/>
    <n v="589"/>
    <n v="2"/>
    <x v="2"/>
    <n v="1"/>
    <n v="3"/>
    <n v="67"/>
    <n v="3"/>
    <n v="2"/>
    <n v="3"/>
    <n v="5154"/>
    <n v="19665"/>
    <n v="4"/>
    <n v="22"/>
    <x v="1"/>
    <n v="2"/>
    <n v="80"/>
    <n v="2"/>
    <n v="10"/>
    <n v="4"/>
    <n v="8"/>
    <n v="7"/>
    <n v="5"/>
    <n v="7"/>
  </r>
  <r>
    <s v="No"/>
    <s v="Travel_Frequently"/>
    <x v="1"/>
    <s v="Current Employees"/>
    <x v="1"/>
    <x v="2"/>
    <s v="STAFF-1520"/>
    <n v="1520"/>
    <x v="0"/>
    <x v="5"/>
    <x v="2"/>
    <s v="No"/>
    <s v="Y"/>
    <n v="2"/>
    <n v="-2"/>
    <n v="0"/>
    <n v="54"/>
    <n v="0"/>
    <m/>
    <n v="0"/>
    <n v="1"/>
    <n v="1050"/>
    <n v="11"/>
    <x v="2"/>
    <n v="1"/>
    <n v="2"/>
    <n v="87"/>
    <n v="3"/>
    <n v="4"/>
    <n v="4"/>
    <n v="16032"/>
    <n v="24456"/>
    <n v="3"/>
    <n v="20"/>
    <x v="1"/>
    <n v="1"/>
    <n v="80"/>
    <n v="1"/>
    <n v="26"/>
    <n v="3"/>
    <n v="14"/>
    <n v="9"/>
    <n v="1"/>
    <n v="12"/>
  </r>
  <r>
    <s v="No"/>
    <s v="Travel_Frequently"/>
    <x v="0"/>
    <s v="Current Employees"/>
    <x v="1"/>
    <x v="2"/>
    <s v="STAFF-1675"/>
    <n v="1675"/>
    <x v="0"/>
    <x v="2"/>
    <x v="0"/>
    <s v="No"/>
    <s v="Y"/>
    <n v="3"/>
    <n v="-2"/>
    <n v="0"/>
    <n v="38"/>
    <n v="0"/>
    <m/>
    <n v="0"/>
    <n v="1"/>
    <n v="148"/>
    <n v="2"/>
    <x v="3"/>
    <n v="1"/>
    <n v="4"/>
    <n v="42"/>
    <n v="2"/>
    <n v="1"/>
    <n v="2"/>
    <n v="2440"/>
    <n v="23826"/>
    <n v="1"/>
    <n v="22"/>
    <x v="1"/>
    <n v="2"/>
    <n v="80"/>
    <n v="0"/>
    <n v="4"/>
    <n v="3"/>
    <n v="4"/>
    <n v="3"/>
    <n v="3"/>
    <n v="3"/>
  </r>
  <r>
    <s v="No"/>
    <s v="Travel_Frequently"/>
    <x v="2"/>
    <s v="Current Employees"/>
    <x v="1"/>
    <x v="4"/>
    <s v="STAFF-1736"/>
    <n v="1736"/>
    <x v="0"/>
    <x v="3"/>
    <x v="0"/>
    <s v="No"/>
    <s v="Y"/>
    <n v="3"/>
    <n v="-2"/>
    <n v="0"/>
    <n v="31"/>
    <n v="0"/>
    <m/>
    <n v="0"/>
    <n v="1"/>
    <n v="163"/>
    <n v="24"/>
    <x v="1"/>
    <n v="1"/>
    <n v="4"/>
    <n v="30"/>
    <n v="3"/>
    <n v="2"/>
    <n v="4"/>
    <n v="5238"/>
    <n v="6670"/>
    <n v="2"/>
    <n v="20"/>
    <x v="1"/>
    <n v="4"/>
    <n v="80"/>
    <n v="0"/>
    <n v="9"/>
    <n v="2"/>
    <n v="5"/>
    <n v="4"/>
    <n v="1"/>
    <n v="4"/>
  </r>
  <r>
    <s v="No"/>
    <s v="Travel_Rarely"/>
    <x v="1"/>
    <s v="Current Employees"/>
    <x v="2"/>
    <x v="0"/>
    <s v="STAFF-1744"/>
    <n v="1744"/>
    <x v="0"/>
    <x v="8"/>
    <x v="1"/>
    <s v="No"/>
    <s v="Y"/>
    <n v="2"/>
    <n v="-2"/>
    <n v="0"/>
    <n v="45"/>
    <n v="0"/>
    <m/>
    <n v="0"/>
    <n v="1"/>
    <n v="176"/>
    <n v="4"/>
    <x v="3"/>
    <n v="1"/>
    <n v="3"/>
    <n v="56"/>
    <n v="1"/>
    <n v="3"/>
    <n v="3"/>
    <n v="9756"/>
    <n v="6595"/>
    <n v="4"/>
    <n v="21"/>
    <x v="1"/>
    <n v="3"/>
    <n v="80"/>
    <n v="2"/>
    <n v="9"/>
    <n v="4"/>
    <n v="5"/>
    <n v="0"/>
    <n v="0"/>
    <n v="3"/>
  </r>
  <r>
    <s v="No"/>
    <s v="Travel_Rarely"/>
    <x v="2"/>
    <s v="Current Employees"/>
    <x v="1"/>
    <x v="2"/>
    <s v="STAFF-1622"/>
    <n v="1622"/>
    <x v="0"/>
    <x v="3"/>
    <x v="2"/>
    <s v="No"/>
    <s v="Y"/>
    <n v="5"/>
    <n v="-2"/>
    <n v="0"/>
    <n v="28"/>
    <n v="0"/>
    <m/>
    <n v="0"/>
    <n v="1"/>
    <n v="580"/>
    <n v="27"/>
    <x v="3"/>
    <n v="1"/>
    <n v="2"/>
    <n v="39"/>
    <n v="1"/>
    <n v="2"/>
    <n v="1"/>
    <n v="4877"/>
    <n v="20460"/>
    <n v="0"/>
    <n v="21"/>
    <x v="1"/>
    <n v="2"/>
    <n v="80"/>
    <n v="1"/>
    <n v="6"/>
    <n v="2"/>
    <n v="5"/>
    <n v="3"/>
    <n v="0"/>
    <n v="0"/>
  </r>
  <r>
    <s v="No"/>
    <s v="Travel_Rarely"/>
    <x v="2"/>
    <s v="Current Employees"/>
    <x v="1"/>
    <x v="0"/>
    <s v="STAFF-1581"/>
    <n v="1581"/>
    <x v="0"/>
    <x v="1"/>
    <x v="1"/>
    <s v="No"/>
    <s v="Y"/>
    <n v="5"/>
    <n v="-2"/>
    <n v="0"/>
    <n v="26"/>
    <n v="0"/>
    <m/>
    <n v="0"/>
    <n v="1"/>
    <n v="474"/>
    <n v="3"/>
    <x v="3"/>
    <n v="1"/>
    <n v="1"/>
    <n v="89"/>
    <n v="3"/>
    <n v="1"/>
    <n v="4"/>
    <n v="2061"/>
    <n v="11133"/>
    <n v="1"/>
    <n v="21"/>
    <x v="1"/>
    <n v="1"/>
    <n v="80"/>
    <n v="0"/>
    <n v="1"/>
    <n v="3"/>
    <n v="1"/>
    <n v="0"/>
    <n v="0"/>
    <n v="0"/>
  </r>
  <r>
    <s v="No"/>
    <s v="Travel_Rarely"/>
    <x v="0"/>
    <s v="Current Employees"/>
    <x v="1"/>
    <x v="0"/>
    <s v="STAFF-2034"/>
    <n v="2034"/>
    <x v="0"/>
    <x v="3"/>
    <x v="1"/>
    <s v="No"/>
    <s v="Y"/>
    <n v="3"/>
    <n v="-2"/>
    <n v="0"/>
    <n v="41"/>
    <n v="0"/>
    <m/>
    <n v="0"/>
    <n v="1"/>
    <n v="582"/>
    <n v="28"/>
    <x v="2"/>
    <n v="1"/>
    <n v="1"/>
    <n v="60"/>
    <n v="2"/>
    <n v="4"/>
    <n v="2"/>
    <n v="13570"/>
    <n v="5640"/>
    <n v="0"/>
    <n v="23"/>
    <x v="1"/>
    <n v="3"/>
    <n v="80"/>
    <n v="1"/>
    <n v="21"/>
    <n v="3"/>
    <n v="20"/>
    <n v="7"/>
    <n v="0"/>
    <n v="10"/>
  </r>
  <r>
    <s v="No"/>
    <s v="Travel_Rarely"/>
    <x v="3"/>
    <s v="Current Employees"/>
    <x v="1"/>
    <x v="0"/>
    <s v="STAFF-1441"/>
    <n v="1441"/>
    <x v="0"/>
    <x v="1"/>
    <x v="1"/>
    <s v="No"/>
    <s v="Y"/>
    <n v="3"/>
    <n v="-2"/>
    <n v="0"/>
    <n v="56"/>
    <n v="0"/>
    <m/>
    <n v="0"/>
    <n v="1"/>
    <n v="1255"/>
    <n v="1"/>
    <x v="0"/>
    <n v="1"/>
    <n v="1"/>
    <n v="90"/>
    <n v="3"/>
    <n v="1"/>
    <n v="1"/>
    <n v="2066"/>
    <n v="10494"/>
    <n v="2"/>
    <n v="22"/>
    <x v="1"/>
    <n v="4"/>
    <n v="80"/>
    <n v="1"/>
    <n v="5"/>
    <n v="4"/>
    <n v="3"/>
    <n v="2"/>
    <n v="1"/>
    <n v="0"/>
  </r>
  <r>
    <s v="No"/>
    <s v="Travel_Rarely"/>
    <x v="1"/>
    <s v="Current Employees"/>
    <x v="1"/>
    <x v="2"/>
    <s v="STAFF-1665"/>
    <n v="1665"/>
    <x v="0"/>
    <x v="5"/>
    <x v="1"/>
    <s v="No"/>
    <s v="Y"/>
    <n v="6"/>
    <n v="-2"/>
    <n v="0"/>
    <n v="54"/>
    <n v="0"/>
    <m/>
    <n v="0"/>
    <n v="1"/>
    <n v="584"/>
    <n v="22"/>
    <x v="4"/>
    <n v="1"/>
    <n v="2"/>
    <n v="91"/>
    <n v="3"/>
    <n v="4"/>
    <n v="3"/>
    <n v="17426"/>
    <n v="18685"/>
    <n v="3"/>
    <n v="25"/>
    <x v="1"/>
    <n v="3"/>
    <n v="80"/>
    <n v="1"/>
    <n v="36"/>
    <n v="3"/>
    <n v="10"/>
    <n v="8"/>
    <n v="4"/>
    <n v="7"/>
  </r>
  <r>
    <s v="No"/>
    <s v="Travel_Rarely"/>
    <x v="1"/>
    <s v="Current Employees"/>
    <x v="1"/>
    <x v="2"/>
    <s v="STAFF-1509"/>
    <n v="1509"/>
    <x v="0"/>
    <x v="2"/>
    <x v="1"/>
    <s v="No"/>
    <s v="Y"/>
    <n v="3"/>
    <n v="-2"/>
    <n v="0"/>
    <n v="49"/>
    <n v="0"/>
    <m/>
    <n v="0"/>
    <n v="1"/>
    <n v="271"/>
    <n v="3"/>
    <x v="0"/>
    <n v="1"/>
    <n v="3"/>
    <n v="43"/>
    <n v="2"/>
    <n v="2"/>
    <n v="1"/>
    <n v="4789"/>
    <n v="23070"/>
    <n v="4"/>
    <n v="25"/>
    <x v="1"/>
    <n v="1"/>
    <n v="80"/>
    <n v="1"/>
    <n v="10"/>
    <n v="3"/>
    <n v="3"/>
    <n v="2"/>
    <n v="1"/>
    <n v="2"/>
  </r>
  <r>
    <s v="No"/>
    <s v="Travel_Rarely"/>
    <x v="2"/>
    <s v="Current Employees"/>
    <x v="1"/>
    <x v="2"/>
    <s v="STAFF-1834"/>
    <n v="1834"/>
    <x v="0"/>
    <x v="1"/>
    <x v="1"/>
    <s v="No"/>
    <s v="Y"/>
    <n v="3"/>
    <n v="-2"/>
    <n v="0"/>
    <n v="28"/>
    <n v="0"/>
    <m/>
    <n v="0"/>
    <n v="1"/>
    <n v="1217"/>
    <n v="1"/>
    <x v="3"/>
    <n v="1"/>
    <n v="3"/>
    <n v="67"/>
    <n v="3"/>
    <n v="1"/>
    <n v="1"/>
    <n v="3591"/>
    <n v="12719"/>
    <n v="1"/>
    <n v="25"/>
    <x v="1"/>
    <n v="3"/>
    <n v="80"/>
    <n v="1"/>
    <n v="3"/>
    <n v="3"/>
    <n v="3"/>
    <n v="2"/>
    <n v="1"/>
    <n v="2"/>
  </r>
  <r>
    <s v="No"/>
    <s v="Travel_Rarely"/>
    <x v="2"/>
    <s v="Current Employees"/>
    <x v="0"/>
    <x v="2"/>
    <s v="STAFF-1864"/>
    <n v="1864"/>
    <x v="0"/>
    <x v="6"/>
    <x v="1"/>
    <s v="No"/>
    <s v="Y"/>
    <n v="5"/>
    <n v="-2"/>
    <n v="0"/>
    <n v="27"/>
    <n v="0"/>
    <m/>
    <n v="0"/>
    <n v="1"/>
    <n v="728"/>
    <n v="23"/>
    <x v="1"/>
    <n v="1"/>
    <n v="2"/>
    <n v="36"/>
    <n v="2"/>
    <n v="2"/>
    <n v="3"/>
    <n v="3540"/>
    <n v="7018"/>
    <n v="1"/>
    <n v="21"/>
    <x v="1"/>
    <n v="4"/>
    <n v="80"/>
    <n v="1"/>
    <n v="9"/>
    <n v="3"/>
    <n v="9"/>
    <n v="8"/>
    <n v="5"/>
    <n v="8"/>
  </r>
  <r>
    <s v="No"/>
    <s v="Travel_Rarely"/>
    <x v="0"/>
    <s v="Current Employees"/>
    <x v="0"/>
    <x v="3"/>
    <s v="STAFF-1909"/>
    <n v="1909"/>
    <x v="0"/>
    <x v="0"/>
    <x v="1"/>
    <s v="No"/>
    <s v="Y"/>
    <n v="3"/>
    <n v="-2"/>
    <n v="0"/>
    <n v="41"/>
    <n v="0"/>
    <m/>
    <n v="0"/>
    <n v="1"/>
    <n v="337"/>
    <n v="8"/>
    <x v="3"/>
    <n v="1"/>
    <n v="3"/>
    <n v="54"/>
    <n v="3"/>
    <n v="2"/>
    <n v="1"/>
    <n v="4393"/>
    <n v="26841"/>
    <n v="5"/>
    <n v="21"/>
    <x v="1"/>
    <n v="3"/>
    <n v="80"/>
    <n v="1"/>
    <n v="14"/>
    <n v="3"/>
    <n v="5"/>
    <n v="4"/>
    <n v="1"/>
    <n v="4"/>
  </r>
  <r>
    <s v="No"/>
    <s v="Travel_Rarely"/>
    <x v="0"/>
    <s v="Current Employees"/>
    <x v="0"/>
    <x v="0"/>
    <s v="STAFF-1554"/>
    <n v="1554"/>
    <x v="0"/>
    <x v="6"/>
    <x v="1"/>
    <s v="No"/>
    <s v="Y"/>
    <n v="5"/>
    <n v="-2"/>
    <n v="0"/>
    <n v="35"/>
    <n v="0"/>
    <m/>
    <n v="0"/>
    <n v="1"/>
    <n v="1402"/>
    <n v="28"/>
    <x v="2"/>
    <n v="1"/>
    <n v="2"/>
    <n v="98"/>
    <n v="2"/>
    <n v="1"/>
    <n v="3"/>
    <n v="2430"/>
    <n v="26204"/>
    <n v="0"/>
    <n v="23"/>
    <x v="1"/>
    <n v="1"/>
    <n v="80"/>
    <n v="2"/>
    <n v="6"/>
    <n v="3"/>
    <n v="5"/>
    <n v="3"/>
    <n v="4"/>
    <n v="2"/>
  </r>
  <r>
    <s v="No"/>
    <s v="Travel_Rarely"/>
    <x v="2"/>
    <s v="Current Employees"/>
    <x v="0"/>
    <x v="3"/>
    <s v="STAFF-2035"/>
    <n v="2035"/>
    <x v="0"/>
    <x v="0"/>
    <x v="1"/>
    <s v="No"/>
    <s v="Y"/>
    <n v="2"/>
    <n v="-2"/>
    <n v="0"/>
    <n v="34"/>
    <n v="0"/>
    <m/>
    <n v="0"/>
    <n v="1"/>
    <n v="704"/>
    <n v="28"/>
    <x v="3"/>
    <n v="1"/>
    <n v="4"/>
    <n v="95"/>
    <n v="2"/>
    <n v="2"/>
    <n v="1"/>
    <n v="6712"/>
    <n v="8978"/>
    <n v="1"/>
    <n v="21"/>
    <x v="1"/>
    <n v="4"/>
    <n v="80"/>
    <n v="2"/>
    <n v="8"/>
    <n v="3"/>
    <n v="8"/>
    <n v="7"/>
    <n v="1"/>
    <n v="7"/>
  </r>
  <r>
    <s v="No"/>
    <s v="Non-Travel"/>
    <x v="3"/>
    <s v="Current Employees"/>
    <x v="1"/>
    <x v="0"/>
    <s v="STAFF-2026"/>
    <n v="2026"/>
    <x v="1"/>
    <x v="4"/>
    <x v="2"/>
    <s v="No"/>
    <s v="Y"/>
    <n v="2"/>
    <n v="-2"/>
    <n v="0"/>
    <n v="56"/>
    <n v="0"/>
    <m/>
    <n v="0"/>
    <n v="1"/>
    <n v="667"/>
    <n v="1"/>
    <x v="2"/>
    <n v="1"/>
    <n v="3"/>
    <n v="57"/>
    <n v="3"/>
    <n v="2"/>
    <n v="3"/>
    <n v="6306"/>
    <n v="26236"/>
    <n v="1"/>
    <n v="21"/>
    <x v="1"/>
    <n v="1"/>
    <n v="80"/>
    <n v="1"/>
    <n v="13"/>
    <n v="2"/>
    <n v="13"/>
    <n v="12"/>
    <n v="1"/>
    <n v="9"/>
  </r>
  <r>
    <s v="No"/>
    <s v="Non-Travel"/>
    <x v="0"/>
    <s v="Current Employees"/>
    <x v="1"/>
    <x v="0"/>
    <s v="STAFF-1949"/>
    <n v="1949"/>
    <x v="1"/>
    <x v="2"/>
    <x v="1"/>
    <s v="No"/>
    <s v="Y"/>
    <n v="3"/>
    <n v="-2"/>
    <n v="0"/>
    <n v="36"/>
    <n v="0"/>
    <m/>
    <n v="0"/>
    <n v="1"/>
    <n v="1351"/>
    <n v="9"/>
    <x v="2"/>
    <n v="1"/>
    <n v="1"/>
    <n v="66"/>
    <n v="4"/>
    <n v="1"/>
    <n v="2"/>
    <n v="2810"/>
    <n v="9238"/>
    <n v="1"/>
    <n v="22"/>
    <x v="1"/>
    <n v="2"/>
    <n v="80"/>
    <n v="0"/>
    <n v="5"/>
    <n v="3"/>
    <n v="5"/>
    <n v="4"/>
    <n v="0"/>
    <n v="2"/>
  </r>
  <r>
    <s v="No"/>
    <s v="Non-Travel"/>
    <x v="1"/>
    <s v="Current Employees"/>
    <x v="1"/>
    <x v="0"/>
    <s v="STAFF-1712"/>
    <n v="1712"/>
    <x v="1"/>
    <x v="4"/>
    <x v="1"/>
    <s v="No"/>
    <s v="Y"/>
    <n v="3"/>
    <n v="-2"/>
    <n v="0"/>
    <n v="45"/>
    <n v="0"/>
    <m/>
    <n v="0"/>
    <n v="1"/>
    <n v="1238"/>
    <n v="1"/>
    <x v="1"/>
    <n v="1"/>
    <n v="3"/>
    <n v="74"/>
    <n v="2"/>
    <n v="3"/>
    <n v="3"/>
    <n v="10748"/>
    <n v="3395"/>
    <n v="3"/>
    <n v="23"/>
    <x v="1"/>
    <n v="4"/>
    <n v="80"/>
    <n v="1"/>
    <n v="25"/>
    <n v="2"/>
    <n v="23"/>
    <n v="15"/>
    <n v="14"/>
    <n v="4"/>
  </r>
  <r>
    <s v="No"/>
    <s v="Non-Travel"/>
    <x v="0"/>
    <s v="Current Employees"/>
    <x v="1"/>
    <x v="4"/>
    <s v="STAFF-1854"/>
    <n v="1854"/>
    <x v="1"/>
    <x v="1"/>
    <x v="1"/>
    <s v="No"/>
    <s v="Y"/>
    <n v="1"/>
    <n v="-2"/>
    <n v="0"/>
    <n v="42"/>
    <n v="0"/>
    <m/>
    <n v="0"/>
    <n v="1"/>
    <n v="355"/>
    <n v="10"/>
    <x v="2"/>
    <n v="1"/>
    <n v="4"/>
    <n v="38"/>
    <n v="3"/>
    <n v="1"/>
    <n v="4"/>
    <n v="2936"/>
    <n v="6161"/>
    <n v="3"/>
    <n v="22"/>
    <x v="1"/>
    <n v="2"/>
    <n v="80"/>
    <n v="2"/>
    <n v="10"/>
    <n v="2"/>
    <n v="6"/>
    <n v="3"/>
    <n v="3"/>
    <n v="3"/>
  </r>
  <r>
    <s v="No"/>
    <s v="Non-Travel"/>
    <x v="2"/>
    <s v="Current Employees"/>
    <x v="1"/>
    <x v="2"/>
    <s v="STAFF-1693"/>
    <n v="1693"/>
    <x v="1"/>
    <x v="2"/>
    <x v="0"/>
    <s v="No"/>
    <s v="Y"/>
    <n v="5"/>
    <n v="-2"/>
    <n v="0"/>
    <n v="26"/>
    <n v="0"/>
    <m/>
    <n v="0"/>
    <n v="1"/>
    <n v="786"/>
    <n v="7"/>
    <x v="3"/>
    <n v="1"/>
    <n v="4"/>
    <n v="76"/>
    <n v="3"/>
    <n v="1"/>
    <n v="4"/>
    <n v="2570"/>
    <n v="11925"/>
    <n v="1"/>
    <n v="20"/>
    <x v="1"/>
    <n v="3"/>
    <n v="80"/>
    <n v="0"/>
    <n v="7"/>
    <n v="3"/>
    <n v="7"/>
    <n v="7"/>
    <n v="5"/>
    <n v="7"/>
  </r>
  <r>
    <s v="No"/>
    <s v="Non-Travel"/>
    <x v="3"/>
    <s v="Current Employees"/>
    <x v="0"/>
    <x v="2"/>
    <s v="STAFF-1824"/>
    <n v="1824"/>
    <x v="1"/>
    <x v="5"/>
    <x v="2"/>
    <s v="No"/>
    <s v="Y"/>
    <n v="0"/>
    <n v="-2"/>
    <n v="0"/>
    <n v="58"/>
    <n v="0"/>
    <m/>
    <n v="0"/>
    <n v="1"/>
    <n v="350"/>
    <n v="2"/>
    <x v="3"/>
    <n v="1"/>
    <n v="2"/>
    <n v="52"/>
    <n v="3"/>
    <n v="4"/>
    <n v="2"/>
    <n v="16291"/>
    <n v="22577"/>
    <n v="4"/>
    <n v="22"/>
    <x v="1"/>
    <n v="4"/>
    <n v="80"/>
    <n v="1"/>
    <n v="37"/>
    <n v="2"/>
    <n v="16"/>
    <n v="9"/>
    <n v="14"/>
    <n v="14"/>
  </r>
  <r>
    <s v="No"/>
    <s v="Non-Travel"/>
    <x v="0"/>
    <s v="Current Employees"/>
    <x v="0"/>
    <x v="3"/>
    <s v="STAFF-2036"/>
    <n v="2036"/>
    <x v="1"/>
    <x v="0"/>
    <x v="2"/>
    <s v="No"/>
    <s v="Y"/>
    <n v="4"/>
    <n v="-2"/>
    <n v="0"/>
    <n v="36"/>
    <n v="0"/>
    <m/>
    <n v="0"/>
    <n v="1"/>
    <n v="301"/>
    <n v="15"/>
    <x v="2"/>
    <n v="1"/>
    <n v="4"/>
    <n v="88"/>
    <n v="1"/>
    <n v="2"/>
    <n v="1"/>
    <n v="5406"/>
    <n v="10436"/>
    <n v="1"/>
    <n v="24"/>
    <x v="1"/>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x v="1"/>
    <n v="4"/>
    <n v="80"/>
    <n v="0"/>
    <n v="10"/>
    <n v="2"/>
    <n v="10"/>
    <n v="1"/>
    <n v="0"/>
    <n v="8"/>
  </r>
  <r>
    <s v="No"/>
    <s v="Travel_Frequently"/>
    <x v="2"/>
    <s v="Current Employees"/>
    <x v="1"/>
    <x v="0"/>
    <s v="STAFF-1970"/>
    <n v="1970"/>
    <x v="1"/>
    <x v="4"/>
    <x v="2"/>
    <s v="No"/>
    <s v="Y"/>
    <n v="2"/>
    <n v="-2"/>
    <n v="0"/>
    <n v="33"/>
    <n v="0"/>
    <m/>
    <n v="0"/>
    <n v="1"/>
    <n v="1303"/>
    <n v="7"/>
    <x v="0"/>
    <n v="1"/>
    <n v="4"/>
    <n v="36"/>
    <n v="3"/>
    <n v="2"/>
    <n v="3"/>
    <n v="5968"/>
    <n v="18079"/>
    <n v="1"/>
    <n v="20"/>
    <x v="1"/>
    <n v="3"/>
    <n v="80"/>
    <n v="3"/>
    <n v="9"/>
    <n v="3"/>
    <n v="9"/>
    <n v="7"/>
    <n v="2"/>
    <n v="8"/>
  </r>
  <r>
    <s v="No"/>
    <s v="Travel_Frequently"/>
    <x v="2"/>
    <s v="Current Employees"/>
    <x v="1"/>
    <x v="0"/>
    <s v="STAFF-1956"/>
    <n v="1956"/>
    <x v="1"/>
    <x v="1"/>
    <x v="1"/>
    <s v="No"/>
    <s v="Y"/>
    <n v="6"/>
    <n v="-2"/>
    <n v="0"/>
    <n v="31"/>
    <n v="0"/>
    <m/>
    <n v="0"/>
    <n v="1"/>
    <n v="1125"/>
    <n v="1"/>
    <x v="3"/>
    <n v="1"/>
    <n v="4"/>
    <n v="48"/>
    <n v="1"/>
    <n v="2"/>
    <n v="1"/>
    <n v="5003"/>
    <n v="5771"/>
    <n v="1"/>
    <n v="21"/>
    <x v="1"/>
    <n v="2"/>
    <n v="80"/>
    <n v="0"/>
    <n v="10"/>
    <n v="3"/>
    <n v="10"/>
    <n v="8"/>
    <n v="8"/>
    <n v="7"/>
  </r>
  <r>
    <s v="No"/>
    <s v="Travel_Frequently"/>
    <x v="1"/>
    <s v="Current Employees"/>
    <x v="1"/>
    <x v="2"/>
    <s v="STAFF-1644"/>
    <n v="1644"/>
    <x v="1"/>
    <x v="5"/>
    <x v="1"/>
    <s v="No"/>
    <s v="Y"/>
    <n v="3"/>
    <n v="-2"/>
    <n v="0"/>
    <n v="48"/>
    <n v="0"/>
    <m/>
    <n v="0"/>
    <n v="1"/>
    <n v="365"/>
    <n v="4"/>
    <x v="4"/>
    <n v="1"/>
    <n v="3"/>
    <n v="89"/>
    <n v="2"/>
    <n v="4"/>
    <n v="4"/>
    <n v="15202"/>
    <n v="5602"/>
    <n v="2"/>
    <n v="25"/>
    <x v="1"/>
    <n v="2"/>
    <n v="80"/>
    <n v="1"/>
    <n v="23"/>
    <n v="3"/>
    <n v="2"/>
    <n v="2"/>
    <n v="2"/>
    <n v="2"/>
  </r>
  <r>
    <s v="No"/>
    <s v="Travel_Frequently"/>
    <x v="0"/>
    <s v="Current Employees"/>
    <x v="0"/>
    <x v="0"/>
    <s v="STAFF-1849"/>
    <n v="1849"/>
    <x v="1"/>
    <x v="0"/>
    <x v="1"/>
    <s v="No"/>
    <s v="Y"/>
    <n v="5"/>
    <n v="-2"/>
    <n v="0"/>
    <n v="43"/>
    <n v="0"/>
    <m/>
    <n v="0"/>
    <n v="1"/>
    <n v="1422"/>
    <n v="2"/>
    <x v="2"/>
    <n v="1"/>
    <n v="1"/>
    <n v="92"/>
    <n v="3"/>
    <n v="2"/>
    <n v="4"/>
    <n v="5675"/>
    <n v="19246"/>
    <n v="1"/>
    <n v="20"/>
    <x v="1"/>
    <n v="3"/>
    <n v="80"/>
    <n v="1"/>
    <n v="7"/>
    <n v="3"/>
    <n v="7"/>
    <n v="7"/>
    <n v="7"/>
    <n v="7"/>
  </r>
  <r>
    <s v="No"/>
    <s v="Travel_Rarely"/>
    <x v="2"/>
    <s v="Current Employees"/>
    <x v="2"/>
    <x v="0"/>
    <s v="STAFF-1499"/>
    <n v="1499"/>
    <x v="1"/>
    <x v="8"/>
    <x v="2"/>
    <s v="No"/>
    <s v="Y"/>
    <n v="3"/>
    <n v="-2"/>
    <n v="0"/>
    <n v="30"/>
    <n v="0"/>
    <m/>
    <n v="0"/>
    <n v="1"/>
    <n v="330"/>
    <n v="1"/>
    <x v="3"/>
    <n v="1"/>
    <n v="3"/>
    <n v="46"/>
    <n v="3"/>
    <n v="1"/>
    <n v="3"/>
    <n v="2064"/>
    <n v="15428"/>
    <n v="0"/>
    <n v="21"/>
    <x v="1"/>
    <n v="1"/>
    <n v="80"/>
    <n v="1"/>
    <n v="6"/>
    <n v="4"/>
    <n v="5"/>
    <n v="3"/>
    <n v="1"/>
    <n v="3"/>
  </r>
  <r>
    <s v="No"/>
    <s v="Travel_Rarely"/>
    <x v="3"/>
    <s v="Current Employees"/>
    <x v="1"/>
    <x v="2"/>
    <s v="STAFF-1697"/>
    <n v="1697"/>
    <x v="1"/>
    <x v="4"/>
    <x v="2"/>
    <s v="No"/>
    <s v="Y"/>
    <n v="2"/>
    <n v="-2"/>
    <n v="0"/>
    <n v="60"/>
    <n v="0"/>
    <m/>
    <n v="0"/>
    <n v="1"/>
    <n v="370"/>
    <n v="1"/>
    <x v="2"/>
    <n v="1"/>
    <n v="3"/>
    <n v="92"/>
    <n v="1"/>
    <n v="3"/>
    <n v="4"/>
    <n v="10883"/>
    <n v="20467"/>
    <n v="3"/>
    <n v="20"/>
    <x v="1"/>
    <n v="3"/>
    <n v="80"/>
    <n v="1"/>
    <n v="19"/>
    <n v="4"/>
    <n v="1"/>
    <n v="0"/>
    <n v="0"/>
    <n v="0"/>
  </r>
  <r>
    <s v="No"/>
    <s v="Travel_Rarely"/>
    <x v="0"/>
    <s v="Current Employees"/>
    <x v="1"/>
    <x v="0"/>
    <s v="STAFF-1664"/>
    <n v="1664"/>
    <x v="1"/>
    <x v="4"/>
    <x v="2"/>
    <s v="No"/>
    <s v="Y"/>
    <n v="3"/>
    <n v="-2"/>
    <n v="0"/>
    <n v="36"/>
    <n v="0"/>
    <m/>
    <n v="0"/>
    <n v="1"/>
    <n v="1040"/>
    <n v="3"/>
    <x v="0"/>
    <n v="1"/>
    <n v="4"/>
    <n v="79"/>
    <n v="4"/>
    <n v="2"/>
    <n v="1"/>
    <n v="6842"/>
    <n v="26308"/>
    <n v="6"/>
    <n v="20"/>
    <x v="1"/>
    <n v="1"/>
    <n v="80"/>
    <n v="1"/>
    <n v="13"/>
    <n v="3"/>
    <n v="5"/>
    <n v="4"/>
    <n v="0"/>
    <n v="4"/>
  </r>
  <r>
    <s v="No"/>
    <s v="Travel_Rarely"/>
    <x v="0"/>
    <s v="Current Employees"/>
    <x v="1"/>
    <x v="0"/>
    <s v="STAFF-1772"/>
    <n v="1772"/>
    <x v="1"/>
    <x v="2"/>
    <x v="2"/>
    <s v="No"/>
    <s v="Y"/>
    <n v="2"/>
    <n v="-2"/>
    <n v="0"/>
    <n v="41"/>
    <n v="0"/>
    <m/>
    <n v="0"/>
    <n v="1"/>
    <n v="548"/>
    <n v="9"/>
    <x v="2"/>
    <n v="1"/>
    <n v="3"/>
    <n v="94"/>
    <n v="3"/>
    <n v="1"/>
    <n v="1"/>
    <n v="2289"/>
    <n v="20520"/>
    <n v="1"/>
    <n v="20"/>
    <x v="1"/>
    <n v="2"/>
    <n v="80"/>
    <n v="2"/>
    <n v="5"/>
    <n v="3"/>
    <n v="5"/>
    <n v="3"/>
    <n v="0"/>
    <n v="4"/>
  </r>
  <r>
    <s v="No"/>
    <s v="Travel_Rarely"/>
    <x v="0"/>
    <s v="Current Employees"/>
    <x v="1"/>
    <x v="2"/>
    <s v="STAFF-1768"/>
    <n v="1768"/>
    <x v="1"/>
    <x v="2"/>
    <x v="2"/>
    <s v="No"/>
    <s v="Y"/>
    <n v="6"/>
    <n v="-2"/>
    <n v="0"/>
    <n v="42"/>
    <n v="0"/>
    <m/>
    <n v="0"/>
    <n v="1"/>
    <n v="855"/>
    <n v="12"/>
    <x v="3"/>
    <n v="1"/>
    <n v="2"/>
    <n v="57"/>
    <n v="3"/>
    <n v="1"/>
    <n v="2"/>
    <n v="2766"/>
    <n v="8952"/>
    <n v="8"/>
    <n v="22"/>
    <x v="1"/>
    <n v="2"/>
    <n v="80"/>
    <n v="3"/>
    <n v="7"/>
    <n v="2"/>
    <n v="5"/>
    <n v="3"/>
    <n v="0"/>
    <n v="4"/>
  </r>
  <r>
    <s v="No"/>
    <s v="Travel_Rarely"/>
    <x v="0"/>
    <s v="Current Employees"/>
    <x v="1"/>
    <x v="2"/>
    <s v="STAFF-1654"/>
    <n v="1654"/>
    <x v="1"/>
    <x v="3"/>
    <x v="1"/>
    <s v="No"/>
    <s v="Y"/>
    <n v="3"/>
    <n v="-2"/>
    <n v="0"/>
    <n v="39"/>
    <n v="0"/>
    <m/>
    <n v="0"/>
    <n v="1"/>
    <n v="492"/>
    <n v="12"/>
    <x v="3"/>
    <n v="1"/>
    <n v="4"/>
    <n v="66"/>
    <n v="3"/>
    <n v="2"/>
    <n v="2"/>
    <n v="5295"/>
    <n v="7693"/>
    <n v="4"/>
    <n v="21"/>
    <x v="1"/>
    <n v="3"/>
    <n v="80"/>
    <n v="0"/>
    <n v="7"/>
    <n v="3"/>
    <n v="5"/>
    <n v="4"/>
    <n v="1"/>
    <n v="0"/>
  </r>
  <r>
    <s v="No"/>
    <s v="Travel_Rarely"/>
    <x v="0"/>
    <s v="Current Employees"/>
    <x v="1"/>
    <x v="2"/>
    <s v="STAFF-1936"/>
    <n v="1936"/>
    <x v="1"/>
    <x v="3"/>
    <x v="1"/>
    <s v="No"/>
    <s v="Y"/>
    <n v="3"/>
    <n v="-2"/>
    <n v="0"/>
    <n v="39"/>
    <n v="0"/>
    <m/>
    <n v="0"/>
    <n v="1"/>
    <n v="867"/>
    <n v="9"/>
    <x v="0"/>
    <n v="1"/>
    <n v="1"/>
    <n v="87"/>
    <n v="3"/>
    <n v="2"/>
    <n v="1"/>
    <n v="5151"/>
    <n v="12315"/>
    <n v="1"/>
    <n v="25"/>
    <x v="1"/>
    <n v="4"/>
    <n v="80"/>
    <n v="1"/>
    <n v="10"/>
    <n v="3"/>
    <n v="10"/>
    <n v="0"/>
    <n v="7"/>
    <n v="9"/>
  </r>
  <r>
    <s v="No"/>
    <s v="Travel_Rarely"/>
    <x v="3"/>
    <s v="Current Employees"/>
    <x v="1"/>
    <x v="4"/>
    <s v="STAFF-1873"/>
    <n v="1873"/>
    <x v="1"/>
    <x v="1"/>
    <x v="1"/>
    <s v="No"/>
    <s v="Y"/>
    <n v="2"/>
    <n v="-2"/>
    <n v="0"/>
    <n v="55"/>
    <n v="0"/>
    <m/>
    <n v="0"/>
    <n v="1"/>
    <n v="836"/>
    <n v="2"/>
    <x v="2"/>
    <n v="1"/>
    <n v="4"/>
    <n v="98"/>
    <n v="2"/>
    <n v="1"/>
    <n v="4"/>
    <n v="2662"/>
    <n v="7975"/>
    <n v="8"/>
    <n v="20"/>
    <x v="1"/>
    <n v="2"/>
    <n v="80"/>
    <n v="1"/>
    <n v="19"/>
    <n v="4"/>
    <n v="5"/>
    <n v="2"/>
    <n v="0"/>
    <n v="4"/>
  </r>
  <r>
    <s v="No"/>
    <s v="Travel_Rarely"/>
    <x v="3"/>
    <s v="Current Employees"/>
    <x v="1"/>
    <x v="0"/>
    <s v="STAFF-1483"/>
    <n v="1483"/>
    <x v="1"/>
    <x v="1"/>
    <x v="1"/>
    <s v="No"/>
    <s v="Y"/>
    <n v="2"/>
    <n v="-2"/>
    <n v="0"/>
    <n v="57"/>
    <n v="0"/>
    <m/>
    <n v="0"/>
    <n v="1"/>
    <n v="405"/>
    <n v="1"/>
    <x v="0"/>
    <n v="1"/>
    <n v="2"/>
    <n v="93"/>
    <n v="4"/>
    <n v="2"/>
    <n v="3"/>
    <n v="4900"/>
    <n v="2721"/>
    <n v="0"/>
    <n v="24"/>
    <x v="1"/>
    <n v="1"/>
    <n v="80"/>
    <n v="1"/>
    <n v="13"/>
    <n v="2"/>
    <n v="12"/>
    <n v="9"/>
    <n v="2"/>
    <n v="8"/>
  </r>
  <r>
    <s v="No"/>
    <s v="Travel_Rarely"/>
    <x v="0"/>
    <s v="Current Employees"/>
    <x v="1"/>
    <x v="0"/>
    <s v="STAFF-1666"/>
    <n v="1666"/>
    <x v="1"/>
    <x v="7"/>
    <x v="1"/>
    <s v="No"/>
    <s v="Y"/>
    <n v="3"/>
    <n v="-2"/>
    <n v="0"/>
    <n v="43"/>
    <n v="0"/>
    <m/>
    <n v="0"/>
    <n v="1"/>
    <n v="1291"/>
    <n v="15"/>
    <x v="0"/>
    <n v="1"/>
    <n v="3"/>
    <n v="65"/>
    <n v="2"/>
    <n v="4"/>
    <n v="3"/>
    <n v="17603"/>
    <n v="3525"/>
    <n v="1"/>
    <n v="24"/>
    <x v="1"/>
    <n v="1"/>
    <n v="80"/>
    <n v="1"/>
    <n v="14"/>
    <n v="3"/>
    <n v="14"/>
    <n v="10"/>
    <n v="6"/>
    <n v="11"/>
  </r>
  <r>
    <s v="No"/>
    <s v="Travel_Rarely"/>
    <x v="0"/>
    <s v="Current Employees"/>
    <x v="1"/>
    <x v="0"/>
    <s v="STAFF-1999"/>
    <n v="1999"/>
    <x v="1"/>
    <x v="1"/>
    <x v="1"/>
    <s v="No"/>
    <s v="Y"/>
    <n v="3"/>
    <n v="-2"/>
    <n v="0"/>
    <n v="41"/>
    <n v="0"/>
    <m/>
    <n v="0"/>
    <n v="1"/>
    <n v="642"/>
    <n v="1"/>
    <x v="3"/>
    <n v="1"/>
    <n v="4"/>
    <n v="76"/>
    <n v="3"/>
    <n v="1"/>
    <n v="4"/>
    <n v="2782"/>
    <n v="21412"/>
    <n v="3"/>
    <n v="22"/>
    <x v="1"/>
    <n v="1"/>
    <n v="80"/>
    <n v="1"/>
    <n v="12"/>
    <n v="3"/>
    <n v="5"/>
    <n v="3"/>
    <n v="1"/>
    <n v="0"/>
  </r>
  <r>
    <s v="No"/>
    <s v="Travel_Rarely"/>
    <x v="1"/>
    <s v="Current Employees"/>
    <x v="1"/>
    <x v="4"/>
    <s v="STAFF-1546"/>
    <n v="1546"/>
    <x v="1"/>
    <x v="1"/>
    <x v="1"/>
    <s v="No"/>
    <s v="Y"/>
    <n v="3"/>
    <n v="-2"/>
    <n v="0"/>
    <n v="45"/>
    <n v="0"/>
    <m/>
    <n v="0"/>
    <n v="1"/>
    <n v="950"/>
    <n v="28"/>
    <x v="3"/>
    <n v="1"/>
    <n v="4"/>
    <n v="97"/>
    <n v="3"/>
    <n v="1"/>
    <n v="4"/>
    <n v="2132"/>
    <n v="4585"/>
    <n v="4"/>
    <n v="20"/>
    <x v="1"/>
    <n v="4"/>
    <n v="80"/>
    <n v="1"/>
    <n v="8"/>
    <n v="3"/>
    <n v="5"/>
    <n v="4"/>
    <n v="0"/>
    <n v="3"/>
  </r>
  <r>
    <s v="No"/>
    <s v="Travel_Rarely"/>
    <x v="1"/>
    <s v="Current Employees"/>
    <x v="1"/>
    <x v="2"/>
    <s v="STAFF-1993"/>
    <n v="1993"/>
    <x v="1"/>
    <x v="4"/>
    <x v="0"/>
    <s v="No"/>
    <s v="Y"/>
    <n v="3"/>
    <n v="-2"/>
    <n v="0"/>
    <n v="47"/>
    <n v="0"/>
    <m/>
    <n v="0"/>
    <n v="1"/>
    <n v="1180"/>
    <n v="25"/>
    <x v="3"/>
    <n v="1"/>
    <n v="1"/>
    <n v="84"/>
    <n v="3"/>
    <n v="3"/>
    <n v="3"/>
    <n v="8633"/>
    <n v="13084"/>
    <n v="2"/>
    <n v="23"/>
    <x v="1"/>
    <n v="2"/>
    <n v="80"/>
    <n v="0"/>
    <n v="25"/>
    <n v="3"/>
    <n v="17"/>
    <n v="14"/>
    <n v="12"/>
    <n v="11"/>
  </r>
  <r>
    <s v="No"/>
    <s v="Travel_Rarely"/>
    <x v="0"/>
    <s v="Current Employees"/>
    <x v="1"/>
    <x v="2"/>
    <s v="STAFF-1800"/>
    <n v="1800"/>
    <x v="1"/>
    <x v="7"/>
    <x v="0"/>
    <s v="No"/>
    <s v="Y"/>
    <n v="3"/>
    <n v="-2"/>
    <n v="0"/>
    <n v="39"/>
    <n v="0"/>
    <m/>
    <n v="0"/>
    <n v="1"/>
    <n v="1253"/>
    <n v="10"/>
    <x v="1"/>
    <n v="1"/>
    <n v="3"/>
    <n v="65"/>
    <n v="3"/>
    <n v="3"/>
    <n v="3"/>
    <n v="13464"/>
    <n v="7914"/>
    <n v="7"/>
    <n v="21"/>
    <x v="1"/>
    <n v="3"/>
    <n v="80"/>
    <n v="0"/>
    <n v="9"/>
    <n v="3"/>
    <n v="4"/>
    <n v="3"/>
    <n v="2"/>
    <n v="2"/>
  </r>
  <r>
    <s v="No"/>
    <s v="Travel_Rarely"/>
    <x v="2"/>
    <s v="Current Employees"/>
    <x v="1"/>
    <x v="2"/>
    <s v="STAFF-1516"/>
    <n v="1516"/>
    <x v="1"/>
    <x v="5"/>
    <x v="0"/>
    <s v="No"/>
    <s v="Y"/>
    <n v="5"/>
    <n v="-2"/>
    <n v="0"/>
    <n v="32"/>
    <n v="0"/>
    <m/>
    <n v="0"/>
    <n v="1"/>
    <n v="495"/>
    <n v="10"/>
    <x v="3"/>
    <n v="1"/>
    <n v="3"/>
    <n v="64"/>
    <n v="3"/>
    <n v="3"/>
    <n v="4"/>
    <n v="11244"/>
    <n v="21072"/>
    <n v="2"/>
    <n v="25"/>
    <x v="1"/>
    <n v="2"/>
    <n v="80"/>
    <n v="0"/>
    <n v="10"/>
    <n v="4"/>
    <n v="5"/>
    <n v="2"/>
    <n v="0"/>
    <n v="0"/>
  </r>
  <r>
    <s v="No"/>
    <s v="Travel_Rarely"/>
    <x v="2"/>
    <s v="Current Employees"/>
    <x v="1"/>
    <x v="0"/>
    <s v="STAFF-1966"/>
    <n v="1966"/>
    <x v="1"/>
    <x v="3"/>
    <x v="0"/>
    <s v="No"/>
    <s v="Y"/>
    <n v="1"/>
    <n v="-2"/>
    <n v="0"/>
    <n v="32"/>
    <n v="0"/>
    <m/>
    <n v="0"/>
    <n v="1"/>
    <n v="1373"/>
    <n v="5"/>
    <x v="2"/>
    <n v="1"/>
    <n v="4"/>
    <n v="56"/>
    <n v="2"/>
    <n v="2"/>
    <n v="4"/>
    <n v="9679"/>
    <n v="10138"/>
    <n v="8"/>
    <n v="24"/>
    <x v="1"/>
    <n v="2"/>
    <n v="80"/>
    <n v="0"/>
    <n v="8"/>
    <n v="3"/>
    <n v="1"/>
    <n v="0"/>
    <n v="0"/>
    <n v="0"/>
  </r>
  <r>
    <s v="No"/>
    <s v="Travel_Rarely"/>
    <x v="0"/>
    <s v="Current Employees"/>
    <x v="1"/>
    <x v="1"/>
    <s v="STAFF-1595"/>
    <n v="1595"/>
    <x v="1"/>
    <x v="5"/>
    <x v="0"/>
    <s v="No"/>
    <s v="Y"/>
    <n v="2"/>
    <n v="-2"/>
    <n v="0"/>
    <n v="42"/>
    <n v="0"/>
    <m/>
    <n v="0"/>
    <n v="1"/>
    <n v="1059"/>
    <n v="9"/>
    <x v="0"/>
    <n v="1"/>
    <n v="4"/>
    <n v="93"/>
    <n v="2"/>
    <n v="5"/>
    <n v="4"/>
    <n v="19613"/>
    <n v="26362"/>
    <n v="8"/>
    <n v="22"/>
    <x v="1"/>
    <n v="4"/>
    <n v="80"/>
    <n v="0"/>
    <n v="24"/>
    <n v="3"/>
    <n v="1"/>
    <n v="0"/>
    <n v="0"/>
    <n v="1"/>
  </r>
  <r>
    <s v="No"/>
    <s v="Travel_Rarely"/>
    <x v="3"/>
    <s v="Current Employees"/>
    <x v="0"/>
    <x v="3"/>
    <s v="STAFF-1578"/>
    <n v="1578"/>
    <x v="1"/>
    <x v="5"/>
    <x v="1"/>
    <s v="No"/>
    <s v="Y"/>
    <n v="3"/>
    <n v="-2"/>
    <n v="0"/>
    <n v="55"/>
    <n v="0"/>
    <m/>
    <n v="0"/>
    <n v="1"/>
    <n v="685"/>
    <n v="26"/>
    <x v="4"/>
    <n v="1"/>
    <n v="3"/>
    <n v="60"/>
    <n v="2"/>
    <n v="5"/>
    <n v="1"/>
    <n v="19586"/>
    <n v="23037"/>
    <n v="1"/>
    <n v="21"/>
    <x v="1"/>
    <n v="3"/>
    <n v="80"/>
    <n v="1"/>
    <n v="36"/>
    <n v="3"/>
    <n v="36"/>
    <n v="6"/>
    <n v="2"/>
    <n v="13"/>
  </r>
  <r>
    <s v="No"/>
    <s v="Travel_Rarely"/>
    <x v="2"/>
    <s v="Current Employees"/>
    <x v="0"/>
    <x v="4"/>
    <s v="STAFF-1823"/>
    <n v="1823"/>
    <x v="1"/>
    <x v="0"/>
    <x v="1"/>
    <s v="No"/>
    <s v="Y"/>
    <n v="5"/>
    <n v="-2"/>
    <n v="0"/>
    <n v="34"/>
    <n v="0"/>
    <m/>
    <n v="0"/>
    <n v="1"/>
    <n v="810"/>
    <n v="8"/>
    <x v="0"/>
    <n v="1"/>
    <n v="4"/>
    <n v="92"/>
    <n v="4"/>
    <n v="2"/>
    <n v="4"/>
    <n v="6799"/>
    <n v="22128"/>
    <n v="1"/>
    <n v="21"/>
    <x v="1"/>
    <n v="3"/>
    <n v="80"/>
    <n v="2"/>
    <n v="10"/>
    <n v="3"/>
    <n v="10"/>
    <n v="8"/>
    <n v="4"/>
    <n v="8"/>
  </r>
  <r>
    <s v="No"/>
    <s v="Travel_Rarely"/>
    <x v="2"/>
    <s v="Current Employees"/>
    <x v="0"/>
    <x v="3"/>
    <s v="STAFF-1950"/>
    <n v="1950"/>
    <x v="1"/>
    <x v="0"/>
    <x v="0"/>
    <s v="No"/>
    <s v="Y"/>
    <n v="3"/>
    <n v="-2"/>
    <n v="0"/>
    <n v="34"/>
    <n v="0"/>
    <m/>
    <n v="0"/>
    <n v="1"/>
    <n v="937"/>
    <n v="1"/>
    <x v="3"/>
    <n v="1"/>
    <n v="1"/>
    <n v="32"/>
    <n v="3"/>
    <n v="3"/>
    <n v="1"/>
    <n v="9888"/>
    <n v="6770"/>
    <n v="1"/>
    <n v="21"/>
    <x v="1"/>
    <n v="1"/>
    <n v="80"/>
    <n v="0"/>
    <n v="14"/>
    <n v="2"/>
    <n v="14"/>
    <n v="8"/>
    <n v="2"/>
    <n v="1"/>
  </r>
  <r>
    <s v="No"/>
    <s v="Non-Travel"/>
    <x v="1"/>
    <s v="Current Employees"/>
    <x v="1"/>
    <x v="2"/>
    <s v="STAFF-1775"/>
    <n v="1775"/>
    <x v="0"/>
    <x v="3"/>
    <x v="1"/>
    <s v="Yes"/>
    <s v="Y"/>
    <n v="2"/>
    <n v="-2"/>
    <n v="0"/>
    <n v="53"/>
    <n v="0"/>
    <m/>
    <n v="0"/>
    <n v="1"/>
    <n v="661"/>
    <n v="1"/>
    <x v="2"/>
    <n v="1"/>
    <n v="1"/>
    <n v="60"/>
    <n v="2"/>
    <n v="4"/>
    <n v="3"/>
    <n v="12965"/>
    <n v="22308"/>
    <n v="4"/>
    <n v="20"/>
    <x v="1"/>
    <n v="4"/>
    <n v="80"/>
    <n v="3"/>
    <n v="27"/>
    <n v="2"/>
    <n v="3"/>
    <n v="2"/>
    <n v="0"/>
    <n v="2"/>
  </r>
  <r>
    <s v="No"/>
    <s v="Non-Travel"/>
    <x v="2"/>
    <s v="Current Employees"/>
    <x v="0"/>
    <x v="0"/>
    <s v="STAFF-1681"/>
    <n v="1681"/>
    <x v="0"/>
    <x v="0"/>
    <x v="2"/>
    <s v="Yes"/>
    <s v="Y"/>
    <n v="2"/>
    <n v="-2"/>
    <n v="0"/>
    <n v="33"/>
    <n v="0"/>
    <m/>
    <n v="0"/>
    <n v="1"/>
    <n v="530"/>
    <n v="16"/>
    <x v="3"/>
    <n v="1"/>
    <n v="3"/>
    <n v="36"/>
    <n v="3"/>
    <n v="2"/>
    <n v="4"/>
    <n v="5368"/>
    <n v="16130"/>
    <n v="1"/>
    <n v="25"/>
    <x v="1"/>
    <n v="3"/>
    <n v="80"/>
    <n v="1"/>
    <n v="7"/>
    <n v="3"/>
    <n v="6"/>
    <n v="5"/>
    <n v="1"/>
    <n v="2"/>
  </r>
  <r>
    <s v="No"/>
    <s v="Travel_Rarely"/>
    <x v="0"/>
    <s v="Current Employees"/>
    <x v="1"/>
    <x v="0"/>
    <s v="STAFF-2017"/>
    <n v="2017"/>
    <x v="0"/>
    <x v="7"/>
    <x v="1"/>
    <s v="Yes"/>
    <s v="Y"/>
    <n v="2"/>
    <n v="-2"/>
    <n v="0"/>
    <n v="37"/>
    <n v="0"/>
    <m/>
    <n v="0"/>
    <n v="1"/>
    <n v="161"/>
    <n v="10"/>
    <x v="3"/>
    <n v="1"/>
    <n v="3"/>
    <n v="42"/>
    <n v="4"/>
    <n v="3"/>
    <n v="4"/>
    <n v="13744"/>
    <n v="15471"/>
    <n v="1"/>
    <n v="25"/>
    <x v="1"/>
    <n v="1"/>
    <n v="80"/>
    <n v="1"/>
    <n v="16"/>
    <n v="3"/>
    <n v="16"/>
    <n v="11"/>
    <n v="6"/>
    <n v="8"/>
  </r>
  <r>
    <s v="No"/>
    <s v="Travel_Rarely"/>
    <x v="3"/>
    <s v="Current Employees"/>
    <x v="1"/>
    <x v="2"/>
    <s v="STAFF-1423"/>
    <n v="1423"/>
    <x v="0"/>
    <x v="7"/>
    <x v="1"/>
    <s v="Yes"/>
    <s v="Y"/>
    <n v="3"/>
    <n v="-2"/>
    <n v="0"/>
    <n v="58"/>
    <n v="0"/>
    <m/>
    <n v="0"/>
    <n v="1"/>
    <n v="1055"/>
    <n v="1"/>
    <x v="3"/>
    <n v="1"/>
    <n v="4"/>
    <n v="76"/>
    <n v="3"/>
    <n v="5"/>
    <n v="1"/>
    <n v="19701"/>
    <n v="22456"/>
    <n v="3"/>
    <n v="21"/>
    <x v="1"/>
    <n v="3"/>
    <n v="80"/>
    <n v="1"/>
    <n v="32"/>
    <n v="3"/>
    <n v="9"/>
    <n v="8"/>
    <n v="1"/>
    <n v="5"/>
  </r>
  <r>
    <s v="No"/>
    <s v="Travel_Rarely"/>
    <x v="0"/>
    <s v="Current Employees"/>
    <x v="1"/>
    <x v="1"/>
    <s v="STAFF-1847"/>
    <n v="1847"/>
    <x v="0"/>
    <x v="1"/>
    <x v="1"/>
    <s v="Yes"/>
    <s v="Y"/>
    <n v="2"/>
    <n v="-2"/>
    <n v="0"/>
    <n v="36"/>
    <n v="0"/>
    <m/>
    <n v="0"/>
    <n v="1"/>
    <n v="430"/>
    <n v="2"/>
    <x v="2"/>
    <n v="1"/>
    <n v="4"/>
    <n v="73"/>
    <n v="3"/>
    <n v="2"/>
    <n v="2"/>
    <n v="6962"/>
    <n v="19573"/>
    <n v="4"/>
    <n v="22"/>
    <x v="1"/>
    <n v="4"/>
    <n v="80"/>
    <n v="1"/>
    <n v="15"/>
    <n v="3"/>
    <n v="1"/>
    <n v="0"/>
    <n v="0"/>
    <n v="0"/>
  </r>
  <r>
    <s v="No"/>
    <s v="Travel_Rarely"/>
    <x v="2"/>
    <s v="Current Employees"/>
    <x v="0"/>
    <x v="1"/>
    <s v="STAFF-2018"/>
    <n v="2018"/>
    <x v="0"/>
    <x v="0"/>
    <x v="2"/>
    <s v="Yes"/>
    <s v="Y"/>
    <n v="3"/>
    <n v="-2"/>
    <n v="0"/>
    <n v="25"/>
    <n v="0"/>
    <m/>
    <n v="0"/>
    <n v="1"/>
    <n v="1382"/>
    <n v="8"/>
    <x v="0"/>
    <n v="1"/>
    <n v="1"/>
    <n v="85"/>
    <n v="3"/>
    <n v="2"/>
    <n v="3"/>
    <n v="4907"/>
    <n v="13684"/>
    <n v="0"/>
    <n v="22"/>
    <x v="1"/>
    <n v="2"/>
    <n v="80"/>
    <n v="1"/>
    <n v="6"/>
    <n v="2"/>
    <n v="5"/>
    <n v="3"/>
    <n v="0"/>
    <n v="4"/>
  </r>
  <r>
    <s v="No"/>
    <s v="Travel_Rarely"/>
    <x v="0"/>
    <s v="Current Employees"/>
    <x v="0"/>
    <x v="3"/>
    <s v="STAFF-1835"/>
    <n v="1835"/>
    <x v="0"/>
    <x v="6"/>
    <x v="1"/>
    <s v="Yes"/>
    <s v="Y"/>
    <n v="4"/>
    <n v="-2"/>
    <n v="0"/>
    <n v="38"/>
    <n v="0"/>
    <m/>
    <n v="0"/>
    <n v="1"/>
    <n v="723"/>
    <n v="2"/>
    <x v="2"/>
    <n v="1"/>
    <n v="2"/>
    <n v="77"/>
    <n v="1"/>
    <n v="2"/>
    <n v="1"/>
    <n v="5405"/>
    <n v="4244"/>
    <n v="2"/>
    <n v="20"/>
    <x v="1"/>
    <n v="1"/>
    <n v="80"/>
    <n v="2"/>
    <n v="20"/>
    <n v="2"/>
    <n v="4"/>
    <n v="2"/>
    <n v="0"/>
    <n v="3"/>
  </r>
  <r>
    <s v="No"/>
    <s v="Travel_Rarely"/>
    <x v="0"/>
    <s v="Current Employees"/>
    <x v="2"/>
    <x v="2"/>
    <s v="STAFF-1550"/>
    <n v="1550"/>
    <x v="1"/>
    <x v="5"/>
    <x v="0"/>
    <s v="Yes"/>
    <s v="Y"/>
    <n v="2"/>
    <n v="-2"/>
    <n v="0"/>
    <n v="40"/>
    <n v="0"/>
    <m/>
    <n v="0"/>
    <n v="1"/>
    <n v="898"/>
    <n v="6"/>
    <x v="0"/>
    <n v="1"/>
    <n v="3"/>
    <n v="38"/>
    <n v="3"/>
    <n v="4"/>
    <n v="4"/>
    <n v="16437"/>
    <n v="17381"/>
    <n v="1"/>
    <n v="21"/>
    <x v="1"/>
    <n v="4"/>
    <n v="80"/>
    <n v="0"/>
    <n v="21"/>
    <n v="3"/>
    <n v="21"/>
    <n v="7"/>
    <n v="7"/>
    <n v="7"/>
  </r>
  <r>
    <s v="No"/>
    <s v="Travel_Rarely"/>
    <x v="2"/>
    <s v="Current Employees"/>
    <x v="1"/>
    <x v="0"/>
    <s v="STAFF-2064"/>
    <n v="2064"/>
    <x v="1"/>
    <x v="3"/>
    <x v="1"/>
    <s v="Yes"/>
    <s v="Y"/>
    <n v="0"/>
    <n v="-2"/>
    <n v="0"/>
    <n v="27"/>
    <n v="0"/>
    <m/>
    <n v="0"/>
    <n v="1"/>
    <n v="155"/>
    <n v="4"/>
    <x v="3"/>
    <n v="1"/>
    <n v="2"/>
    <n v="87"/>
    <n v="4"/>
    <n v="2"/>
    <n v="2"/>
    <n v="6142"/>
    <n v="5174"/>
    <n v="1"/>
    <n v="20"/>
    <x v="1"/>
    <n v="2"/>
    <n v="80"/>
    <n v="1"/>
    <n v="6"/>
    <n v="3"/>
    <n v="6"/>
    <n v="2"/>
    <n v="0"/>
    <n v="3"/>
  </r>
  <r>
    <s v="No"/>
    <s v="Travel_Rarely"/>
    <x v="0"/>
    <s v="Current Employees"/>
    <x v="1"/>
    <x v="2"/>
    <s v="STAFF-1885"/>
    <n v="1885"/>
    <x v="1"/>
    <x v="1"/>
    <x v="1"/>
    <s v="Yes"/>
    <s v="Y"/>
    <n v="2"/>
    <n v="-2"/>
    <n v="0"/>
    <n v="37"/>
    <n v="0"/>
    <m/>
    <n v="0"/>
    <n v="1"/>
    <n v="783"/>
    <n v="7"/>
    <x v="2"/>
    <n v="1"/>
    <n v="4"/>
    <n v="78"/>
    <n v="3"/>
    <n v="2"/>
    <n v="1"/>
    <n v="4284"/>
    <n v="13588"/>
    <n v="5"/>
    <n v="22"/>
    <x v="1"/>
    <n v="3"/>
    <n v="80"/>
    <n v="1"/>
    <n v="16"/>
    <n v="3"/>
    <n v="5"/>
    <n v="3"/>
    <n v="0"/>
    <n v="4"/>
  </r>
  <r>
    <s v="No"/>
    <s v="Travel_Rarely"/>
    <x v="2"/>
    <s v="Current Employees"/>
    <x v="0"/>
    <x v="4"/>
    <s v="STAFF-1541"/>
    <n v="1541"/>
    <x v="1"/>
    <x v="6"/>
    <x v="1"/>
    <s v="Yes"/>
    <s v="Y"/>
    <n v="4"/>
    <n v="-2"/>
    <n v="0"/>
    <n v="34"/>
    <n v="0"/>
    <m/>
    <n v="0"/>
    <n v="1"/>
    <n v="1440"/>
    <n v="7"/>
    <x v="0"/>
    <n v="1"/>
    <n v="4"/>
    <n v="55"/>
    <n v="3"/>
    <n v="1"/>
    <n v="4"/>
    <n v="2308"/>
    <n v="4944"/>
    <n v="0"/>
    <n v="25"/>
    <x v="1"/>
    <n v="2"/>
    <n v="80"/>
    <n v="1"/>
    <n v="12"/>
    <n v="3"/>
    <n v="11"/>
    <n v="10"/>
    <n v="5"/>
    <n v="7"/>
  </r>
  <r>
    <s v="No"/>
    <s v="Travel_Rarely"/>
    <x v="0"/>
    <s v="Current Employees"/>
    <x v="0"/>
    <x v="0"/>
    <s v="STAFF-1556"/>
    <n v="1556"/>
    <x v="1"/>
    <x v="6"/>
    <x v="0"/>
    <s v="Yes"/>
    <s v="Y"/>
    <n v="3"/>
    <n v="-2"/>
    <n v="0"/>
    <n v="36"/>
    <n v="0"/>
    <m/>
    <n v="0"/>
    <n v="1"/>
    <n v="1157"/>
    <n v="2"/>
    <x v="2"/>
    <n v="1"/>
    <n v="3"/>
    <n v="70"/>
    <n v="3"/>
    <n v="1"/>
    <n v="4"/>
    <n v="2644"/>
    <n v="17001"/>
    <n v="3"/>
    <n v="21"/>
    <x v="1"/>
    <n v="4"/>
    <n v="80"/>
    <n v="0"/>
    <n v="7"/>
    <n v="2"/>
    <n v="3"/>
    <n v="2"/>
    <n v="1"/>
    <n v="2"/>
  </r>
  <r>
    <s v="Yes"/>
    <s v="Travel_Frequently"/>
    <x v="2"/>
    <s v="Ex-Employees"/>
    <x v="2"/>
    <x v="5"/>
    <s v="STAFF-1747"/>
    <n v="1747"/>
    <x v="0"/>
    <x v="8"/>
    <x v="2"/>
    <s v="No"/>
    <s v="Y"/>
    <n v="0"/>
    <n v="-2"/>
    <n v="0"/>
    <n v="30"/>
    <n v="1"/>
    <n v="1"/>
    <n v="1"/>
    <n v="0"/>
    <n v="600"/>
    <n v="8"/>
    <x v="3"/>
    <n v="1"/>
    <n v="3"/>
    <n v="66"/>
    <n v="2"/>
    <n v="1"/>
    <n v="4"/>
    <n v="2180"/>
    <n v="9732"/>
    <n v="6"/>
    <n v="11"/>
    <x v="0"/>
    <n v="3"/>
    <n v="80"/>
    <n v="1"/>
    <n v="6"/>
    <n v="2"/>
    <n v="4"/>
    <n v="2"/>
    <n v="1"/>
    <n v="2"/>
  </r>
  <r>
    <s v="Yes"/>
    <s v="Travel_Frequently"/>
    <x v="2"/>
    <s v="Ex-Employees"/>
    <x v="2"/>
    <x v="5"/>
    <s v="STAFF-1944"/>
    <n v="1944"/>
    <x v="0"/>
    <x v="8"/>
    <x v="1"/>
    <s v="No"/>
    <s v="Y"/>
    <n v="2"/>
    <n v="-2"/>
    <n v="0"/>
    <n v="27"/>
    <n v="1"/>
    <n v="1"/>
    <n v="1"/>
    <n v="0"/>
    <n v="1337"/>
    <n v="22"/>
    <x v="3"/>
    <n v="1"/>
    <n v="1"/>
    <n v="58"/>
    <n v="2"/>
    <n v="1"/>
    <n v="2"/>
    <n v="2863"/>
    <n v="19555"/>
    <n v="1"/>
    <n v="12"/>
    <x v="0"/>
    <n v="1"/>
    <n v="80"/>
    <n v="0"/>
    <n v="1"/>
    <n v="3"/>
    <n v="1"/>
    <n v="0"/>
    <n v="0"/>
    <n v="0"/>
  </r>
  <r>
    <s v="Yes"/>
    <s v="Travel_Frequently"/>
    <x v="2"/>
    <s v="Ex-Employees"/>
    <x v="1"/>
    <x v="0"/>
    <s v="STAFF-1459"/>
    <n v="1459"/>
    <x v="0"/>
    <x v="3"/>
    <x v="0"/>
    <s v="No"/>
    <s v="Y"/>
    <n v="2"/>
    <n v="-2"/>
    <n v="0"/>
    <n v="31"/>
    <n v="1"/>
    <n v="1"/>
    <n v="1"/>
    <n v="0"/>
    <n v="1445"/>
    <n v="1"/>
    <x v="4"/>
    <n v="1"/>
    <n v="3"/>
    <n v="100"/>
    <n v="4"/>
    <n v="3"/>
    <n v="2"/>
    <n v="7446"/>
    <n v="8931"/>
    <n v="1"/>
    <n v="11"/>
    <x v="0"/>
    <n v="1"/>
    <n v="80"/>
    <n v="0"/>
    <n v="10"/>
    <n v="3"/>
    <n v="10"/>
    <n v="8"/>
    <n v="4"/>
    <n v="7"/>
  </r>
  <r>
    <s v="Yes"/>
    <s v="Travel_Frequently"/>
    <x v="2"/>
    <s v="Ex-Employees"/>
    <x v="1"/>
    <x v="0"/>
    <s v="STAFF-1537"/>
    <n v="1537"/>
    <x v="0"/>
    <x v="1"/>
    <x v="0"/>
    <s v="No"/>
    <s v="Y"/>
    <n v="2"/>
    <n v="-2"/>
    <n v="0"/>
    <n v="31"/>
    <n v="1"/>
    <n v="1"/>
    <n v="1"/>
    <n v="0"/>
    <n v="561"/>
    <n v="3"/>
    <x v="3"/>
    <n v="1"/>
    <n v="4"/>
    <n v="33"/>
    <n v="3"/>
    <n v="1"/>
    <n v="3"/>
    <n v="4084"/>
    <n v="4156"/>
    <n v="1"/>
    <n v="12"/>
    <x v="0"/>
    <n v="1"/>
    <n v="80"/>
    <n v="0"/>
    <n v="7"/>
    <n v="1"/>
    <n v="7"/>
    <n v="2"/>
    <n v="7"/>
    <n v="7"/>
  </r>
  <r>
    <s v="Yes"/>
    <s v="Travel_Frequently"/>
    <x v="2"/>
    <s v="Ex-Employees"/>
    <x v="0"/>
    <x v="4"/>
    <s v="STAFF-1487"/>
    <n v="1487"/>
    <x v="0"/>
    <x v="0"/>
    <x v="0"/>
    <s v="No"/>
    <s v="Y"/>
    <n v="4"/>
    <n v="-2"/>
    <n v="0"/>
    <n v="29"/>
    <n v="1"/>
    <n v="1"/>
    <n v="1"/>
    <n v="0"/>
    <n v="115"/>
    <n v="13"/>
    <x v="3"/>
    <n v="1"/>
    <n v="4"/>
    <n v="51"/>
    <n v="3"/>
    <n v="2"/>
    <n v="4"/>
    <n v="5765"/>
    <n v="17485"/>
    <n v="5"/>
    <n v="11"/>
    <x v="0"/>
    <n v="1"/>
    <n v="80"/>
    <n v="0"/>
    <n v="7"/>
    <n v="1"/>
    <n v="5"/>
    <n v="3"/>
    <n v="0"/>
    <n v="0"/>
  </r>
  <r>
    <s v="Yes"/>
    <s v="Travel_Frequently"/>
    <x v="2"/>
    <s v="Ex-Employees"/>
    <x v="0"/>
    <x v="0"/>
    <s v="STAFF-1427"/>
    <n v="1427"/>
    <x v="0"/>
    <x v="6"/>
    <x v="0"/>
    <s v="No"/>
    <s v="Y"/>
    <n v="3"/>
    <n v="-2"/>
    <n v="0"/>
    <n v="31"/>
    <n v="1"/>
    <n v="1"/>
    <n v="1"/>
    <n v="0"/>
    <n v="667"/>
    <n v="1"/>
    <x v="2"/>
    <n v="1"/>
    <n v="2"/>
    <n v="50"/>
    <n v="1"/>
    <n v="1"/>
    <n v="3"/>
    <n v="1359"/>
    <n v="16154"/>
    <n v="1"/>
    <n v="12"/>
    <x v="0"/>
    <n v="2"/>
    <n v="80"/>
    <n v="0"/>
    <n v="1"/>
    <n v="3"/>
    <n v="1"/>
    <n v="0"/>
    <n v="0"/>
    <n v="0"/>
  </r>
  <r>
    <s v="Yes"/>
    <s v="Travel_Rarely"/>
    <x v="2"/>
    <s v="Ex-Employees"/>
    <x v="2"/>
    <x v="4"/>
    <s v="STAFF-1467"/>
    <n v="1467"/>
    <x v="0"/>
    <x v="8"/>
    <x v="1"/>
    <s v="No"/>
    <s v="Y"/>
    <n v="0"/>
    <n v="-2"/>
    <n v="0"/>
    <n v="34"/>
    <n v="1"/>
    <n v="1"/>
    <n v="1"/>
    <n v="0"/>
    <n v="1107"/>
    <n v="9"/>
    <x v="2"/>
    <n v="1"/>
    <n v="4"/>
    <n v="52"/>
    <n v="3"/>
    <n v="1"/>
    <n v="4"/>
    <n v="2742"/>
    <n v="3072"/>
    <n v="1"/>
    <n v="15"/>
    <x v="0"/>
    <n v="4"/>
    <n v="80"/>
    <n v="0"/>
    <n v="2"/>
    <n v="3"/>
    <n v="2"/>
    <n v="2"/>
    <n v="2"/>
    <n v="2"/>
  </r>
  <r>
    <s v="Yes"/>
    <s v="Travel_Rarely"/>
    <x v="1"/>
    <s v="Ex-Employees"/>
    <x v="1"/>
    <x v="4"/>
    <s v="STAFF-1572"/>
    <n v="1572"/>
    <x v="0"/>
    <x v="3"/>
    <x v="1"/>
    <s v="No"/>
    <s v="Y"/>
    <n v="4"/>
    <n v="-2"/>
    <n v="0"/>
    <n v="53"/>
    <n v="1"/>
    <n v="1"/>
    <n v="1"/>
    <n v="0"/>
    <n v="607"/>
    <n v="2"/>
    <x v="4"/>
    <n v="1"/>
    <n v="3"/>
    <n v="78"/>
    <n v="2"/>
    <n v="3"/>
    <n v="4"/>
    <n v="10169"/>
    <n v="14618"/>
    <n v="0"/>
    <n v="16"/>
    <x v="0"/>
    <n v="2"/>
    <n v="80"/>
    <n v="1"/>
    <n v="34"/>
    <n v="3"/>
    <n v="33"/>
    <n v="7"/>
    <n v="1"/>
    <n v="9"/>
  </r>
  <r>
    <s v="Yes"/>
    <s v="Travel_Rarely"/>
    <x v="2"/>
    <s v="Ex-Employees"/>
    <x v="1"/>
    <x v="0"/>
    <s v="STAFF-1433"/>
    <n v="1433"/>
    <x v="0"/>
    <x v="1"/>
    <x v="0"/>
    <s v="No"/>
    <s v="Y"/>
    <n v="3"/>
    <n v="-2"/>
    <n v="0"/>
    <n v="31"/>
    <n v="1"/>
    <n v="1"/>
    <n v="1"/>
    <n v="0"/>
    <n v="202"/>
    <n v="8"/>
    <x v="3"/>
    <n v="1"/>
    <n v="1"/>
    <n v="34"/>
    <n v="2"/>
    <n v="1"/>
    <n v="2"/>
    <n v="1261"/>
    <n v="22262"/>
    <n v="1"/>
    <n v="12"/>
    <x v="0"/>
    <n v="3"/>
    <n v="80"/>
    <n v="0"/>
    <n v="1"/>
    <n v="4"/>
    <n v="1"/>
    <n v="0"/>
    <n v="0"/>
    <n v="0"/>
  </r>
  <r>
    <s v="Yes"/>
    <s v="Travel_Rarely"/>
    <x v="2"/>
    <s v="Ex-Employees"/>
    <x v="0"/>
    <x v="3"/>
    <s v="STAFF-1752"/>
    <n v="1752"/>
    <x v="0"/>
    <x v="6"/>
    <x v="0"/>
    <s v="No"/>
    <s v="Y"/>
    <n v="3"/>
    <n v="-2"/>
    <n v="0"/>
    <n v="29"/>
    <n v="1"/>
    <n v="1"/>
    <n v="1"/>
    <n v="0"/>
    <n v="428"/>
    <n v="9"/>
    <x v="3"/>
    <n v="1"/>
    <n v="2"/>
    <n v="52"/>
    <n v="1"/>
    <n v="1"/>
    <n v="1"/>
    <n v="2760"/>
    <n v="14630"/>
    <n v="1"/>
    <n v="13"/>
    <x v="0"/>
    <n v="3"/>
    <n v="80"/>
    <n v="0"/>
    <n v="2"/>
    <n v="3"/>
    <n v="2"/>
    <n v="2"/>
    <n v="2"/>
    <n v="2"/>
  </r>
  <r>
    <s v="Yes"/>
    <s v="Travel_Frequently"/>
    <x v="2"/>
    <s v="Ex-Employees"/>
    <x v="1"/>
    <x v="0"/>
    <s v="STAFF-1807"/>
    <n v="1807"/>
    <x v="1"/>
    <x v="2"/>
    <x v="1"/>
    <s v="No"/>
    <s v="Y"/>
    <n v="3"/>
    <n v="-2"/>
    <n v="0"/>
    <n v="34"/>
    <n v="1"/>
    <n v="1"/>
    <n v="1"/>
    <n v="0"/>
    <n v="234"/>
    <n v="9"/>
    <x v="2"/>
    <n v="1"/>
    <n v="4"/>
    <n v="93"/>
    <n v="3"/>
    <n v="2"/>
    <n v="1"/>
    <n v="5346"/>
    <n v="6208"/>
    <n v="4"/>
    <n v="17"/>
    <x v="0"/>
    <n v="3"/>
    <n v="80"/>
    <n v="1"/>
    <n v="11"/>
    <n v="2"/>
    <n v="7"/>
    <n v="1"/>
    <n v="0"/>
    <n v="7"/>
  </r>
  <r>
    <s v="Yes"/>
    <s v="Travel_Frequently"/>
    <x v="2"/>
    <s v="Ex-Employees"/>
    <x v="1"/>
    <x v="2"/>
    <s v="STAFF-1504"/>
    <n v="1504"/>
    <x v="1"/>
    <x v="2"/>
    <x v="0"/>
    <s v="No"/>
    <s v="Y"/>
    <n v="2"/>
    <n v="-2"/>
    <n v="0"/>
    <n v="28"/>
    <n v="1"/>
    <n v="1"/>
    <n v="1"/>
    <n v="0"/>
    <n v="289"/>
    <n v="2"/>
    <x v="0"/>
    <n v="1"/>
    <n v="3"/>
    <n v="38"/>
    <n v="2"/>
    <n v="1"/>
    <n v="1"/>
    <n v="2561"/>
    <n v="5355"/>
    <n v="7"/>
    <n v="11"/>
    <x v="0"/>
    <n v="3"/>
    <n v="80"/>
    <n v="0"/>
    <n v="8"/>
    <n v="2"/>
    <n v="0"/>
    <n v="0"/>
    <n v="0"/>
    <n v="0"/>
  </r>
  <r>
    <s v="Yes"/>
    <s v="Travel_Frequently"/>
    <x v="1"/>
    <s v="Ex-Employees"/>
    <x v="0"/>
    <x v="0"/>
    <s v="STAFF-2044"/>
    <n v="2044"/>
    <x v="1"/>
    <x v="0"/>
    <x v="2"/>
    <s v="No"/>
    <s v="Y"/>
    <n v="3"/>
    <n v="-2"/>
    <n v="0"/>
    <n v="50"/>
    <n v="1"/>
    <n v="1"/>
    <n v="1"/>
    <n v="0"/>
    <n v="878"/>
    <n v="1"/>
    <x v="2"/>
    <n v="1"/>
    <n v="2"/>
    <n v="94"/>
    <n v="3"/>
    <n v="2"/>
    <n v="3"/>
    <n v="6728"/>
    <n v="14255"/>
    <n v="7"/>
    <n v="12"/>
    <x v="0"/>
    <n v="4"/>
    <n v="80"/>
    <n v="2"/>
    <n v="12"/>
    <n v="3"/>
    <n v="6"/>
    <n v="3"/>
    <n v="0"/>
    <n v="1"/>
  </r>
  <r>
    <s v="Yes"/>
    <s v="Travel_Frequently"/>
    <x v="1"/>
    <s v="Ex-Employees"/>
    <x v="0"/>
    <x v="0"/>
    <s v="STAFF-1716"/>
    <n v="1716"/>
    <x v="1"/>
    <x v="0"/>
    <x v="1"/>
    <s v="No"/>
    <s v="Y"/>
    <n v="3"/>
    <n v="-2"/>
    <n v="0"/>
    <n v="47"/>
    <n v="1"/>
    <n v="1"/>
    <n v="1"/>
    <n v="0"/>
    <n v="1093"/>
    <n v="9"/>
    <x v="3"/>
    <n v="1"/>
    <n v="3"/>
    <n v="82"/>
    <n v="1"/>
    <n v="4"/>
    <n v="3"/>
    <n v="12936"/>
    <n v="24164"/>
    <n v="7"/>
    <n v="11"/>
    <x v="0"/>
    <n v="3"/>
    <n v="80"/>
    <n v="0"/>
    <n v="25"/>
    <n v="1"/>
    <n v="23"/>
    <n v="5"/>
    <n v="14"/>
    <n v="10"/>
  </r>
  <r>
    <s v="Yes"/>
    <s v="Travel_Frequently"/>
    <x v="2"/>
    <s v="Ex-Employees"/>
    <x v="0"/>
    <x v="4"/>
    <s v="STAFF-1486"/>
    <n v="1486"/>
    <x v="1"/>
    <x v="6"/>
    <x v="1"/>
    <s v="No"/>
    <s v="Y"/>
    <n v="3"/>
    <n v="-2"/>
    <n v="0"/>
    <n v="28"/>
    <n v="1"/>
    <n v="1"/>
    <n v="1"/>
    <n v="0"/>
    <n v="1496"/>
    <n v="1"/>
    <x v="3"/>
    <n v="1"/>
    <n v="1"/>
    <n v="92"/>
    <n v="3"/>
    <n v="1"/>
    <n v="4"/>
    <n v="2909"/>
    <n v="15747"/>
    <n v="3"/>
    <n v="15"/>
    <x v="0"/>
    <n v="4"/>
    <n v="80"/>
    <n v="1"/>
    <n v="5"/>
    <n v="4"/>
    <n v="3"/>
    <n v="2"/>
    <n v="1"/>
    <n v="2"/>
  </r>
  <r>
    <s v="Yes"/>
    <s v="Travel_Frequently"/>
    <x v="4"/>
    <s v="Ex-Employees"/>
    <x v="0"/>
    <x v="3"/>
    <s v="STAFF-2023"/>
    <n v="2023"/>
    <x v="1"/>
    <x v="6"/>
    <x v="1"/>
    <s v="No"/>
    <s v="Y"/>
    <n v="3"/>
    <n v="-2"/>
    <n v="0"/>
    <n v="23"/>
    <n v="1"/>
    <n v="1"/>
    <n v="1"/>
    <n v="0"/>
    <n v="638"/>
    <n v="9"/>
    <x v="3"/>
    <n v="1"/>
    <n v="4"/>
    <n v="33"/>
    <n v="3"/>
    <n v="1"/>
    <n v="1"/>
    <n v="1790"/>
    <n v="26956"/>
    <n v="1"/>
    <n v="19"/>
    <x v="0"/>
    <n v="1"/>
    <n v="80"/>
    <n v="1"/>
    <n v="1"/>
    <n v="2"/>
    <n v="1"/>
    <n v="0"/>
    <n v="1"/>
    <n v="0"/>
  </r>
  <r>
    <s v="Yes"/>
    <s v="Travel_Frequently"/>
    <x v="2"/>
    <s v="Ex-Employees"/>
    <x v="0"/>
    <x v="4"/>
    <s v="STAFF-1928"/>
    <n v="1928"/>
    <x v="1"/>
    <x v="6"/>
    <x v="0"/>
    <s v="No"/>
    <s v="Y"/>
    <n v="3"/>
    <n v="-2"/>
    <n v="0"/>
    <n v="29"/>
    <n v="1"/>
    <n v="1"/>
    <n v="1"/>
    <n v="0"/>
    <n v="746"/>
    <n v="24"/>
    <x v="3"/>
    <n v="1"/>
    <n v="3"/>
    <n v="45"/>
    <n v="4"/>
    <n v="1"/>
    <n v="4"/>
    <n v="1091"/>
    <n v="10642"/>
    <n v="1"/>
    <n v="17"/>
    <x v="0"/>
    <n v="4"/>
    <n v="80"/>
    <n v="0"/>
    <n v="1"/>
    <n v="3"/>
    <n v="1"/>
    <n v="0"/>
    <n v="0"/>
    <n v="0"/>
  </r>
  <r>
    <s v="Yes"/>
    <s v="Travel_Rarely"/>
    <x v="2"/>
    <s v="Ex-Employees"/>
    <x v="2"/>
    <x v="5"/>
    <s v="STAFF-1842"/>
    <n v="1842"/>
    <x v="1"/>
    <x v="8"/>
    <x v="1"/>
    <s v="No"/>
    <s v="Y"/>
    <n v="4"/>
    <n v="-2"/>
    <n v="0"/>
    <n v="31"/>
    <n v="1"/>
    <n v="1"/>
    <n v="1"/>
    <n v="0"/>
    <n v="359"/>
    <n v="18"/>
    <x v="4"/>
    <n v="1"/>
    <n v="4"/>
    <n v="89"/>
    <n v="4"/>
    <n v="1"/>
    <n v="1"/>
    <n v="2956"/>
    <n v="21495"/>
    <n v="0"/>
    <n v="17"/>
    <x v="0"/>
    <n v="3"/>
    <n v="80"/>
    <n v="0"/>
    <n v="2"/>
    <n v="3"/>
    <n v="1"/>
    <n v="0"/>
    <n v="0"/>
    <n v="0"/>
  </r>
  <r>
    <s v="Yes"/>
    <s v="Travel_Rarely"/>
    <x v="4"/>
    <s v="Ex-Employees"/>
    <x v="2"/>
    <x v="5"/>
    <s v="STAFF-1714"/>
    <n v="1714"/>
    <x v="1"/>
    <x v="8"/>
    <x v="1"/>
    <s v="No"/>
    <s v="Y"/>
    <n v="2"/>
    <n v="-2"/>
    <n v="0"/>
    <n v="24"/>
    <n v="1"/>
    <n v="1"/>
    <n v="1"/>
    <n v="0"/>
    <n v="240"/>
    <n v="22"/>
    <x v="1"/>
    <n v="1"/>
    <n v="4"/>
    <n v="58"/>
    <n v="1"/>
    <n v="1"/>
    <n v="3"/>
    <n v="1555"/>
    <n v="11585"/>
    <n v="1"/>
    <n v="11"/>
    <x v="0"/>
    <n v="3"/>
    <n v="80"/>
    <n v="1"/>
    <n v="1"/>
    <n v="3"/>
    <n v="1"/>
    <n v="0"/>
    <n v="0"/>
    <n v="0"/>
  </r>
  <r>
    <s v="Yes"/>
    <s v="Travel_Rarely"/>
    <x v="2"/>
    <s v="Ex-Employees"/>
    <x v="1"/>
    <x v="4"/>
    <s v="STAFF-1960"/>
    <n v="1960"/>
    <x v="1"/>
    <x v="2"/>
    <x v="2"/>
    <s v="No"/>
    <s v="Y"/>
    <n v="2"/>
    <n v="-2"/>
    <n v="0"/>
    <n v="28"/>
    <n v="1"/>
    <n v="1"/>
    <n v="1"/>
    <n v="0"/>
    <n v="1404"/>
    <n v="17"/>
    <x v="3"/>
    <n v="1"/>
    <n v="3"/>
    <n v="32"/>
    <n v="2"/>
    <n v="1"/>
    <n v="4"/>
    <n v="2367"/>
    <n v="18779"/>
    <n v="5"/>
    <n v="12"/>
    <x v="0"/>
    <n v="1"/>
    <n v="80"/>
    <n v="1"/>
    <n v="6"/>
    <n v="2"/>
    <n v="4"/>
    <n v="1"/>
    <n v="0"/>
    <n v="3"/>
  </r>
  <r>
    <s v="Yes"/>
    <s v="Travel_Rarely"/>
    <x v="3"/>
    <s v="Ex-Employees"/>
    <x v="1"/>
    <x v="4"/>
    <s v="STAFF-2032"/>
    <n v="2032"/>
    <x v="1"/>
    <x v="2"/>
    <x v="1"/>
    <s v="No"/>
    <s v="Y"/>
    <n v="4"/>
    <n v="-2"/>
    <n v="0"/>
    <n v="56"/>
    <n v="1"/>
    <n v="1"/>
    <n v="1"/>
    <n v="0"/>
    <n v="310"/>
    <n v="7"/>
    <x v="0"/>
    <n v="1"/>
    <n v="4"/>
    <n v="72"/>
    <n v="3"/>
    <n v="1"/>
    <n v="4"/>
    <n v="2339"/>
    <n v="3666"/>
    <n v="8"/>
    <n v="11"/>
    <x v="0"/>
    <n v="4"/>
    <n v="80"/>
    <n v="1"/>
    <n v="14"/>
    <n v="1"/>
    <n v="10"/>
    <n v="9"/>
    <n v="9"/>
    <n v="8"/>
  </r>
  <r>
    <s v="Yes"/>
    <s v="Travel_Rarely"/>
    <x v="0"/>
    <s v="Ex-Employees"/>
    <x v="1"/>
    <x v="2"/>
    <s v="STAFF-1573"/>
    <n v="1573"/>
    <x v="1"/>
    <x v="3"/>
    <x v="1"/>
    <s v="No"/>
    <s v="Y"/>
    <n v="2"/>
    <n v="-2"/>
    <n v="0"/>
    <n v="38"/>
    <n v="1"/>
    <n v="1"/>
    <n v="1"/>
    <n v="0"/>
    <n v="903"/>
    <n v="2"/>
    <x v="3"/>
    <n v="1"/>
    <n v="3"/>
    <n v="81"/>
    <n v="3"/>
    <n v="2"/>
    <n v="2"/>
    <n v="4855"/>
    <n v="7653"/>
    <n v="4"/>
    <n v="11"/>
    <x v="0"/>
    <n v="1"/>
    <n v="80"/>
    <n v="2"/>
    <n v="7"/>
    <n v="3"/>
    <n v="5"/>
    <n v="2"/>
    <n v="1"/>
    <n v="4"/>
  </r>
  <r>
    <s v="Yes"/>
    <s v="Travel_Rarely"/>
    <x v="2"/>
    <s v="Ex-Employees"/>
    <x v="1"/>
    <x v="4"/>
    <s v="STAFF-1522"/>
    <n v="1522"/>
    <x v="1"/>
    <x v="1"/>
    <x v="0"/>
    <s v="No"/>
    <s v="Y"/>
    <n v="2"/>
    <n v="-2"/>
    <n v="0"/>
    <n v="29"/>
    <n v="1"/>
    <n v="1"/>
    <n v="1"/>
    <n v="0"/>
    <n v="224"/>
    <n v="1"/>
    <x v="2"/>
    <n v="1"/>
    <n v="1"/>
    <n v="100"/>
    <n v="2"/>
    <n v="1"/>
    <n v="1"/>
    <n v="2362"/>
    <n v="7568"/>
    <n v="6"/>
    <n v="13"/>
    <x v="0"/>
    <n v="3"/>
    <n v="80"/>
    <n v="0"/>
    <n v="11"/>
    <n v="1"/>
    <n v="9"/>
    <n v="7"/>
    <n v="0"/>
    <n v="7"/>
  </r>
  <r>
    <s v="Yes"/>
    <s v="Travel_Rarely"/>
    <x v="3"/>
    <s v="Ex-Employees"/>
    <x v="1"/>
    <x v="0"/>
    <s v="STAFF-1907"/>
    <n v="1907"/>
    <x v="1"/>
    <x v="2"/>
    <x v="0"/>
    <s v="No"/>
    <s v="Y"/>
    <n v="3"/>
    <n v="-2"/>
    <n v="0"/>
    <n v="56"/>
    <n v="1"/>
    <n v="1"/>
    <n v="1"/>
    <n v="0"/>
    <n v="1162"/>
    <n v="24"/>
    <x v="0"/>
    <n v="1"/>
    <n v="1"/>
    <n v="97"/>
    <n v="3"/>
    <n v="1"/>
    <n v="4"/>
    <n v="2587"/>
    <n v="10261"/>
    <n v="1"/>
    <n v="16"/>
    <x v="0"/>
    <n v="4"/>
    <n v="80"/>
    <n v="0"/>
    <n v="5"/>
    <n v="3"/>
    <n v="4"/>
    <n v="2"/>
    <n v="1"/>
    <n v="0"/>
  </r>
  <r>
    <s v="Yes"/>
    <s v="Travel_Rarely"/>
    <x v="0"/>
    <s v="Ex-Employees"/>
    <x v="1"/>
    <x v="0"/>
    <s v="STAFF-1534"/>
    <n v="1534"/>
    <x v="1"/>
    <x v="2"/>
    <x v="0"/>
    <s v="No"/>
    <s v="Y"/>
    <n v="3"/>
    <n v="-2"/>
    <n v="0"/>
    <n v="40"/>
    <n v="1"/>
    <n v="1"/>
    <n v="1"/>
    <n v="0"/>
    <n v="676"/>
    <n v="9"/>
    <x v="2"/>
    <n v="1"/>
    <n v="4"/>
    <n v="86"/>
    <n v="3"/>
    <n v="1"/>
    <n v="1"/>
    <n v="2018"/>
    <n v="21831"/>
    <n v="3"/>
    <n v="14"/>
    <x v="0"/>
    <n v="2"/>
    <n v="80"/>
    <n v="0"/>
    <n v="15"/>
    <n v="1"/>
    <n v="5"/>
    <n v="4"/>
    <n v="1"/>
    <n v="0"/>
  </r>
  <r>
    <s v="Yes"/>
    <s v="Travel_Rarely"/>
    <x v="0"/>
    <s v="Ex-Employees"/>
    <x v="1"/>
    <x v="2"/>
    <s v="STAFF-1809"/>
    <n v="1809"/>
    <x v="1"/>
    <x v="3"/>
    <x v="0"/>
    <s v="No"/>
    <s v="Y"/>
    <n v="4"/>
    <n v="-2"/>
    <n v="0"/>
    <n v="37"/>
    <n v="1"/>
    <n v="1"/>
    <n v="1"/>
    <n v="0"/>
    <n v="370"/>
    <n v="10"/>
    <x v="2"/>
    <n v="1"/>
    <n v="4"/>
    <n v="58"/>
    <n v="3"/>
    <n v="2"/>
    <n v="1"/>
    <n v="4213"/>
    <n v="4992"/>
    <n v="1"/>
    <n v="15"/>
    <x v="0"/>
    <n v="2"/>
    <n v="80"/>
    <n v="0"/>
    <n v="10"/>
    <n v="1"/>
    <n v="10"/>
    <n v="3"/>
    <n v="0"/>
    <n v="8"/>
  </r>
  <r>
    <s v="Yes"/>
    <s v="Travel_Rarely"/>
    <x v="2"/>
    <s v="Ex-Employees"/>
    <x v="1"/>
    <x v="0"/>
    <s v="STAFF-1692"/>
    <n v="1692"/>
    <x v="1"/>
    <x v="2"/>
    <x v="0"/>
    <s v="No"/>
    <s v="Y"/>
    <n v="2"/>
    <n v="-2"/>
    <n v="0"/>
    <n v="32"/>
    <n v="1"/>
    <n v="1"/>
    <n v="1"/>
    <n v="0"/>
    <n v="1259"/>
    <n v="2"/>
    <x v="2"/>
    <n v="1"/>
    <n v="4"/>
    <n v="95"/>
    <n v="3"/>
    <n v="1"/>
    <n v="2"/>
    <n v="1393"/>
    <n v="24852"/>
    <n v="1"/>
    <n v="12"/>
    <x v="0"/>
    <n v="1"/>
    <n v="80"/>
    <n v="0"/>
    <n v="1"/>
    <n v="3"/>
    <n v="1"/>
    <n v="0"/>
    <n v="0"/>
    <n v="0"/>
  </r>
  <r>
    <s v="Yes"/>
    <s v="Travel_Rarely"/>
    <x v="1"/>
    <s v="Ex-Employees"/>
    <x v="0"/>
    <x v="3"/>
    <s v="STAFF-1457"/>
    <n v="1457"/>
    <x v="1"/>
    <x v="0"/>
    <x v="2"/>
    <s v="No"/>
    <s v="Y"/>
    <n v="1"/>
    <n v="-2"/>
    <n v="0"/>
    <n v="46"/>
    <n v="1"/>
    <n v="1"/>
    <n v="1"/>
    <n v="0"/>
    <n v="377"/>
    <n v="9"/>
    <x v="3"/>
    <n v="1"/>
    <n v="1"/>
    <n v="52"/>
    <n v="3"/>
    <n v="3"/>
    <n v="1"/>
    <n v="10096"/>
    <n v="15986"/>
    <n v="4"/>
    <n v="11"/>
    <x v="0"/>
    <n v="1"/>
    <n v="80"/>
    <n v="1"/>
    <n v="28"/>
    <n v="4"/>
    <n v="7"/>
    <n v="7"/>
    <n v="4"/>
    <n v="3"/>
  </r>
  <r>
    <s v="Yes"/>
    <s v="Travel_Rarely"/>
    <x v="2"/>
    <s v="Ex-Employees"/>
    <x v="0"/>
    <x v="0"/>
    <s v="STAFF-1439"/>
    <n v="1439"/>
    <x v="1"/>
    <x v="6"/>
    <x v="1"/>
    <s v="No"/>
    <s v="Y"/>
    <n v="2"/>
    <n v="-2"/>
    <n v="0"/>
    <n v="25"/>
    <n v="1"/>
    <n v="1"/>
    <n v="1"/>
    <n v="0"/>
    <n v="383"/>
    <n v="9"/>
    <x v="0"/>
    <n v="1"/>
    <n v="1"/>
    <n v="68"/>
    <n v="2"/>
    <n v="1"/>
    <n v="1"/>
    <n v="4400"/>
    <n v="15182"/>
    <n v="3"/>
    <n v="12"/>
    <x v="0"/>
    <n v="1"/>
    <n v="80"/>
    <n v="0"/>
    <n v="6"/>
    <n v="3"/>
    <n v="3"/>
    <n v="2"/>
    <n v="2"/>
    <n v="2"/>
  </r>
  <r>
    <s v="Yes"/>
    <s v="Travel_Rarely"/>
    <x v="0"/>
    <s v="Ex-Employees"/>
    <x v="0"/>
    <x v="2"/>
    <s v="STAFF-1639"/>
    <n v="1639"/>
    <x v="1"/>
    <x v="0"/>
    <x v="1"/>
    <s v="No"/>
    <s v="Y"/>
    <n v="3"/>
    <n v="-2"/>
    <n v="0"/>
    <n v="35"/>
    <n v="1"/>
    <n v="1"/>
    <n v="1"/>
    <n v="0"/>
    <n v="737"/>
    <n v="10"/>
    <x v="3"/>
    <n v="1"/>
    <n v="4"/>
    <n v="55"/>
    <n v="2"/>
    <n v="3"/>
    <n v="1"/>
    <n v="10306"/>
    <n v="21530"/>
    <n v="9"/>
    <n v="17"/>
    <x v="0"/>
    <n v="3"/>
    <n v="80"/>
    <n v="0"/>
    <n v="15"/>
    <n v="3"/>
    <n v="13"/>
    <n v="12"/>
    <n v="6"/>
    <n v="0"/>
  </r>
  <r>
    <s v="Yes"/>
    <s v="Travel_Rarely"/>
    <x v="2"/>
    <s v="Ex-Employees"/>
    <x v="0"/>
    <x v="0"/>
    <s v="STAFF-1562"/>
    <n v="1562"/>
    <x v="1"/>
    <x v="0"/>
    <x v="1"/>
    <s v="No"/>
    <s v="Y"/>
    <n v="4"/>
    <n v="-2"/>
    <n v="0"/>
    <n v="30"/>
    <n v="1"/>
    <n v="1"/>
    <n v="1"/>
    <n v="0"/>
    <n v="740"/>
    <n v="1"/>
    <x v="3"/>
    <n v="1"/>
    <n v="2"/>
    <n v="64"/>
    <n v="2"/>
    <n v="2"/>
    <n v="1"/>
    <n v="9714"/>
    <n v="5323"/>
    <n v="1"/>
    <n v="11"/>
    <x v="0"/>
    <n v="4"/>
    <n v="80"/>
    <n v="1"/>
    <n v="10"/>
    <n v="3"/>
    <n v="10"/>
    <n v="8"/>
    <n v="6"/>
    <n v="7"/>
  </r>
  <r>
    <s v="Yes"/>
    <s v="Travel_Rarely"/>
    <x v="2"/>
    <s v="Ex-Employees"/>
    <x v="0"/>
    <x v="3"/>
    <s v="STAFF-1761"/>
    <n v="1761"/>
    <x v="1"/>
    <x v="0"/>
    <x v="1"/>
    <s v="No"/>
    <s v="Y"/>
    <n v="2"/>
    <n v="-2"/>
    <n v="0"/>
    <n v="31"/>
    <n v="1"/>
    <n v="1"/>
    <n v="1"/>
    <n v="0"/>
    <n v="1079"/>
    <n v="16"/>
    <x v="2"/>
    <n v="1"/>
    <n v="1"/>
    <n v="70"/>
    <n v="3"/>
    <n v="3"/>
    <n v="1"/>
    <n v="8161"/>
    <n v="19002"/>
    <n v="2"/>
    <n v="13"/>
    <x v="0"/>
    <n v="1"/>
    <n v="80"/>
    <n v="3"/>
    <n v="10"/>
    <n v="3"/>
    <n v="1"/>
    <n v="0"/>
    <n v="0"/>
    <n v="0"/>
  </r>
  <r>
    <s v="Yes"/>
    <s v="Travel_Rarely"/>
    <x v="2"/>
    <s v="Ex-Employees"/>
    <x v="0"/>
    <x v="0"/>
    <s v="STAFF-1734"/>
    <n v="1734"/>
    <x v="1"/>
    <x v="0"/>
    <x v="0"/>
    <s v="No"/>
    <s v="Y"/>
    <n v="2"/>
    <n v="-2"/>
    <n v="0"/>
    <n v="32"/>
    <n v="1"/>
    <n v="1"/>
    <n v="1"/>
    <n v="0"/>
    <n v="964"/>
    <n v="1"/>
    <x v="0"/>
    <n v="1"/>
    <n v="1"/>
    <n v="34"/>
    <n v="1"/>
    <n v="2"/>
    <n v="2"/>
    <n v="6735"/>
    <n v="12147"/>
    <n v="6"/>
    <n v="15"/>
    <x v="0"/>
    <n v="2"/>
    <n v="80"/>
    <n v="0"/>
    <n v="10"/>
    <n v="3"/>
    <n v="0"/>
    <n v="0"/>
    <n v="0"/>
    <n v="0"/>
  </r>
  <r>
    <s v="Yes"/>
    <s v="Travel_Rarely"/>
    <x v="4"/>
    <s v="Ex-Employees"/>
    <x v="0"/>
    <x v="3"/>
    <s v="STAFF-1780"/>
    <n v="1780"/>
    <x v="1"/>
    <x v="6"/>
    <x v="0"/>
    <s v="No"/>
    <s v="Y"/>
    <n v="3"/>
    <n v="-2"/>
    <n v="0"/>
    <n v="21"/>
    <n v="1"/>
    <n v="1"/>
    <n v="1"/>
    <n v="0"/>
    <n v="337"/>
    <n v="7"/>
    <x v="1"/>
    <n v="1"/>
    <n v="2"/>
    <n v="31"/>
    <n v="3"/>
    <n v="1"/>
    <n v="1"/>
    <n v="2679"/>
    <n v="4567"/>
    <n v="1"/>
    <n v="13"/>
    <x v="0"/>
    <n v="2"/>
    <n v="80"/>
    <n v="0"/>
    <n v="1"/>
    <n v="3"/>
    <n v="1"/>
    <n v="0"/>
    <n v="1"/>
    <n v="0"/>
  </r>
  <r>
    <s v="Yes"/>
    <s v="Travel_Rarely"/>
    <x v="2"/>
    <s v="Ex-Employees"/>
    <x v="0"/>
    <x v="2"/>
    <s v="STAFF-1876"/>
    <n v="1876"/>
    <x v="1"/>
    <x v="6"/>
    <x v="0"/>
    <s v="No"/>
    <s v="Y"/>
    <n v="3"/>
    <n v="-2"/>
    <n v="0"/>
    <n v="30"/>
    <n v="1"/>
    <n v="1"/>
    <n v="1"/>
    <n v="0"/>
    <n v="945"/>
    <n v="9"/>
    <x v="3"/>
    <n v="1"/>
    <n v="2"/>
    <n v="89"/>
    <n v="3"/>
    <n v="1"/>
    <n v="4"/>
    <n v="1081"/>
    <n v="16019"/>
    <n v="1"/>
    <n v="13"/>
    <x v="0"/>
    <n v="3"/>
    <n v="80"/>
    <n v="0"/>
    <n v="1"/>
    <n v="2"/>
    <n v="1"/>
    <n v="0"/>
    <n v="0"/>
    <n v="0"/>
  </r>
  <r>
    <s v="Yes"/>
    <s v="Travel_Frequently"/>
    <x v="2"/>
    <s v="Ex-Employees"/>
    <x v="1"/>
    <x v="0"/>
    <s v="STAFF-1939"/>
    <n v="1939"/>
    <x v="0"/>
    <x v="1"/>
    <x v="0"/>
    <s v="Yes"/>
    <s v="Y"/>
    <n v="2"/>
    <n v="-2"/>
    <n v="0"/>
    <n v="32"/>
    <n v="1"/>
    <n v="1"/>
    <n v="1"/>
    <n v="0"/>
    <n v="238"/>
    <n v="5"/>
    <x v="0"/>
    <n v="1"/>
    <n v="1"/>
    <n v="47"/>
    <n v="4"/>
    <n v="1"/>
    <n v="3"/>
    <n v="2432"/>
    <n v="15318"/>
    <n v="3"/>
    <n v="14"/>
    <x v="0"/>
    <n v="1"/>
    <n v="80"/>
    <n v="0"/>
    <n v="8"/>
    <n v="3"/>
    <n v="4"/>
    <n v="1"/>
    <n v="0"/>
    <n v="3"/>
  </r>
  <r>
    <s v="Yes"/>
    <s v="Travel_Frequently"/>
    <x v="2"/>
    <s v="Ex-Employees"/>
    <x v="1"/>
    <x v="1"/>
    <s v="STAFF-1421"/>
    <n v="1421"/>
    <x v="0"/>
    <x v="4"/>
    <x v="0"/>
    <s v="Yes"/>
    <s v="Y"/>
    <n v="1"/>
    <n v="-2"/>
    <n v="0"/>
    <n v="29"/>
    <n v="1"/>
    <n v="1"/>
    <n v="1"/>
    <n v="0"/>
    <n v="337"/>
    <n v="14"/>
    <x v="1"/>
    <n v="1"/>
    <n v="3"/>
    <n v="84"/>
    <n v="3"/>
    <n v="3"/>
    <n v="4"/>
    <n v="7553"/>
    <n v="22930"/>
    <n v="0"/>
    <n v="12"/>
    <x v="0"/>
    <n v="1"/>
    <n v="80"/>
    <n v="0"/>
    <n v="9"/>
    <n v="3"/>
    <n v="8"/>
    <n v="7"/>
    <n v="7"/>
    <n v="7"/>
  </r>
  <r>
    <s v="Yes"/>
    <s v="Travel_Frequently"/>
    <x v="1"/>
    <s v="Ex-Employees"/>
    <x v="0"/>
    <x v="2"/>
    <s v="STAFF-1691"/>
    <n v="1691"/>
    <x v="0"/>
    <x v="6"/>
    <x v="1"/>
    <s v="Yes"/>
    <s v="Y"/>
    <n v="3"/>
    <n v="-2"/>
    <n v="0"/>
    <n v="48"/>
    <n v="1"/>
    <n v="1"/>
    <n v="1"/>
    <n v="0"/>
    <n v="708"/>
    <n v="7"/>
    <x v="0"/>
    <n v="1"/>
    <n v="4"/>
    <n v="95"/>
    <n v="3"/>
    <n v="1"/>
    <n v="3"/>
    <n v="2655"/>
    <n v="11740"/>
    <n v="2"/>
    <n v="11"/>
    <x v="0"/>
    <n v="3"/>
    <n v="80"/>
    <n v="2"/>
    <n v="19"/>
    <n v="3"/>
    <n v="9"/>
    <n v="7"/>
    <n v="7"/>
    <n v="7"/>
  </r>
  <r>
    <s v="Yes"/>
    <s v="Travel_Frequently"/>
    <x v="4"/>
    <s v="Ex-Employees"/>
    <x v="0"/>
    <x v="2"/>
    <s v="STAFF-1624"/>
    <n v="1624"/>
    <x v="0"/>
    <x v="6"/>
    <x v="0"/>
    <s v="Yes"/>
    <s v="Y"/>
    <n v="2"/>
    <n v="-2"/>
    <n v="0"/>
    <n v="18"/>
    <n v="1"/>
    <n v="1"/>
    <n v="1"/>
    <n v="0"/>
    <n v="544"/>
    <n v="3"/>
    <x v="0"/>
    <n v="1"/>
    <n v="2"/>
    <n v="70"/>
    <n v="3"/>
    <n v="1"/>
    <n v="4"/>
    <n v="1569"/>
    <n v="18420"/>
    <n v="1"/>
    <n v="12"/>
    <x v="0"/>
    <n v="3"/>
    <n v="80"/>
    <n v="0"/>
    <n v="0"/>
    <n v="4"/>
    <n v="0"/>
    <n v="0"/>
    <n v="0"/>
    <n v="0"/>
  </r>
  <r>
    <s v="Yes"/>
    <s v="Travel_Rarely"/>
    <x v="2"/>
    <s v="Ex-Employees"/>
    <x v="2"/>
    <x v="2"/>
    <s v="STAFF-1818"/>
    <n v="1818"/>
    <x v="0"/>
    <x v="8"/>
    <x v="1"/>
    <s v="Yes"/>
    <s v="Y"/>
    <n v="3"/>
    <n v="-2"/>
    <n v="0"/>
    <n v="26"/>
    <n v="1"/>
    <n v="1"/>
    <n v="1"/>
    <n v="0"/>
    <n v="920"/>
    <n v="20"/>
    <x v="0"/>
    <n v="1"/>
    <n v="4"/>
    <n v="69"/>
    <n v="3"/>
    <n v="1"/>
    <n v="2"/>
    <n v="2148"/>
    <n v="6889"/>
    <n v="0"/>
    <n v="11"/>
    <x v="0"/>
    <n v="3"/>
    <n v="80"/>
    <n v="0"/>
    <n v="6"/>
    <n v="3"/>
    <n v="5"/>
    <n v="1"/>
    <n v="1"/>
    <n v="4"/>
  </r>
  <r>
    <s v="Yes"/>
    <s v="Travel_Rarely"/>
    <x v="0"/>
    <s v="Ex-Employees"/>
    <x v="1"/>
    <x v="0"/>
    <s v="STAFF-1569"/>
    <n v="1569"/>
    <x v="0"/>
    <x v="2"/>
    <x v="2"/>
    <s v="Yes"/>
    <s v="Y"/>
    <n v="2"/>
    <n v="-2"/>
    <n v="0"/>
    <n v="35"/>
    <n v="1"/>
    <n v="1"/>
    <n v="1"/>
    <n v="0"/>
    <n v="104"/>
    <n v="2"/>
    <x v="3"/>
    <n v="1"/>
    <n v="1"/>
    <n v="69"/>
    <n v="3"/>
    <n v="1"/>
    <n v="1"/>
    <n v="2074"/>
    <n v="26619"/>
    <n v="1"/>
    <n v="12"/>
    <x v="0"/>
    <n v="4"/>
    <n v="80"/>
    <n v="1"/>
    <n v="1"/>
    <n v="3"/>
    <n v="1"/>
    <n v="0"/>
    <n v="0"/>
    <n v="0"/>
  </r>
  <r>
    <s v="Yes"/>
    <s v="Travel_Rarely"/>
    <x v="4"/>
    <s v="Ex-Employees"/>
    <x v="1"/>
    <x v="2"/>
    <s v="STAFF-1783"/>
    <n v="1783"/>
    <x v="0"/>
    <x v="2"/>
    <x v="1"/>
    <s v="Yes"/>
    <s v="Y"/>
    <n v="6"/>
    <n v="-2"/>
    <n v="0"/>
    <n v="22"/>
    <n v="1"/>
    <n v="1"/>
    <n v="1"/>
    <n v="0"/>
    <n v="1294"/>
    <n v="8"/>
    <x v="1"/>
    <n v="1"/>
    <n v="3"/>
    <n v="79"/>
    <n v="3"/>
    <n v="1"/>
    <n v="1"/>
    <n v="2398"/>
    <n v="15999"/>
    <n v="1"/>
    <n v="17"/>
    <x v="0"/>
    <n v="3"/>
    <n v="80"/>
    <n v="0"/>
    <n v="1"/>
    <n v="3"/>
    <n v="1"/>
    <n v="0"/>
    <n v="0"/>
    <n v="0"/>
  </r>
  <r>
    <s v="Yes"/>
    <s v="Travel_Rarely"/>
    <x v="2"/>
    <s v="Ex-Employees"/>
    <x v="0"/>
    <x v="3"/>
    <s v="STAFF-1933"/>
    <n v="1933"/>
    <x v="0"/>
    <x v="0"/>
    <x v="0"/>
    <s v="Yes"/>
    <s v="Y"/>
    <n v="0"/>
    <n v="-2"/>
    <n v="0"/>
    <n v="28"/>
    <n v="1"/>
    <n v="1"/>
    <n v="1"/>
    <n v="0"/>
    <n v="1475"/>
    <n v="13"/>
    <x v="0"/>
    <n v="1"/>
    <n v="4"/>
    <n v="84"/>
    <n v="3"/>
    <n v="2"/>
    <n v="1"/>
    <n v="9854"/>
    <n v="23352"/>
    <n v="3"/>
    <n v="11"/>
    <x v="0"/>
    <n v="4"/>
    <n v="80"/>
    <n v="0"/>
    <n v="6"/>
    <n v="3"/>
    <n v="2"/>
    <n v="0"/>
    <n v="2"/>
    <n v="2"/>
  </r>
  <r>
    <s v="Yes"/>
    <s v="Travel_Frequently"/>
    <x v="0"/>
    <s v="Ex-Employees"/>
    <x v="1"/>
    <x v="2"/>
    <s v="STAFF-1792"/>
    <n v="1792"/>
    <x v="1"/>
    <x v="1"/>
    <x v="2"/>
    <s v="Yes"/>
    <s v="Y"/>
    <n v="2"/>
    <n v="-2"/>
    <n v="0"/>
    <n v="44"/>
    <n v="1"/>
    <n v="1"/>
    <n v="1"/>
    <n v="0"/>
    <n v="429"/>
    <n v="1"/>
    <x v="0"/>
    <n v="1"/>
    <n v="3"/>
    <n v="99"/>
    <n v="3"/>
    <n v="1"/>
    <n v="2"/>
    <n v="2342"/>
    <n v="11092"/>
    <n v="1"/>
    <n v="12"/>
    <x v="0"/>
    <n v="3"/>
    <n v="80"/>
    <n v="3"/>
    <n v="6"/>
    <n v="2"/>
    <n v="5"/>
    <n v="3"/>
    <n v="2"/>
    <n v="3"/>
  </r>
  <r>
    <s v="Yes"/>
    <s v="Travel_Frequently"/>
    <x v="2"/>
    <s v="Ex-Employees"/>
    <x v="1"/>
    <x v="0"/>
    <s v="STAFF-1464"/>
    <n v="1464"/>
    <x v="1"/>
    <x v="2"/>
    <x v="1"/>
    <s v="Yes"/>
    <s v="Y"/>
    <n v="2"/>
    <n v="-2"/>
    <n v="0"/>
    <n v="31"/>
    <n v="1"/>
    <n v="1"/>
    <n v="1"/>
    <n v="0"/>
    <n v="523"/>
    <n v="2"/>
    <x v="3"/>
    <n v="1"/>
    <n v="2"/>
    <n v="94"/>
    <n v="3"/>
    <n v="1"/>
    <n v="4"/>
    <n v="3722"/>
    <n v="21081"/>
    <n v="6"/>
    <n v="13"/>
    <x v="0"/>
    <n v="3"/>
    <n v="80"/>
    <n v="1"/>
    <n v="7"/>
    <n v="1"/>
    <n v="2"/>
    <n v="2"/>
    <n v="2"/>
    <n v="2"/>
  </r>
  <r>
    <s v="Yes"/>
    <s v="Travel_Frequently"/>
    <x v="0"/>
    <s v="Ex-Employees"/>
    <x v="1"/>
    <x v="4"/>
    <s v="STAFF-1767"/>
    <n v="1767"/>
    <x v="1"/>
    <x v="1"/>
    <x v="1"/>
    <s v="Yes"/>
    <s v="Y"/>
    <n v="4"/>
    <n v="-2"/>
    <n v="0"/>
    <n v="43"/>
    <n v="1"/>
    <n v="1"/>
    <n v="1"/>
    <n v="0"/>
    <n v="807"/>
    <n v="17"/>
    <x v="3"/>
    <n v="1"/>
    <n v="3"/>
    <n v="38"/>
    <n v="2"/>
    <n v="1"/>
    <n v="3"/>
    <n v="2437"/>
    <n v="15587"/>
    <n v="9"/>
    <n v="16"/>
    <x v="0"/>
    <n v="4"/>
    <n v="80"/>
    <n v="1"/>
    <n v="6"/>
    <n v="3"/>
    <n v="1"/>
    <n v="0"/>
    <n v="0"/>
    <n v="0"/>
  </r>
  <r>
    <s v="Yes"/>
    <s v="Travel_Frequently"/>
    <x v="4"/>
    <s v="Ex-Employees"/>
    <x v="1"/>
    <x v="2"/>
    <s v="STAFF-1494"/>
    <n v="1494"/>
    <x v="1"/>
    <x v="2"/>
    <x v="0"/>
    <s v="Yes"/>
    <s v="Y"/>
    <n v="2"/>
    <n v="-2"/>
    <n v="0"/>
    <n v="24"/>
    <n v="1"/>
    <n v="1"/>
    <n v="1"/>
    <n v="0"/>
    <n v="381"/>
    <n v="9"/>
    <x v="3"/>
    <n v="1"/>
    <n v="2"/>
    <n v="89"/>
    <n v="3"/>
    <n v="1"/>
    <n v="1"/>
    <n v="3172"/>
    <n v="16998"/>
    <n v="2"/>
    <n v="11"/>
    <x v="0"/>
    <n v="3"/>
    <n v="80"/>
    <n v="0"/>
    <n v="4"/>
    <n v="2"/>
    <n v="0"/>
    <n v="0"/>
    <n v="0"/>
    <n v="0"/>
  </r>
  <r>
    <s v="Yes"/>
    <s v="Travel_Frequently"/>
    <x v="2"/>
    <s v="Ex-Employees"/>
    <x v="0"/>
    <x v="3"/>
    <s v="STAFF-1967"/>
    <n v="1967"/>
    <x v="1"/>
    <x v="0"/>
    <x v="1"/>
    <s v="Yes"/>
    <s v="Y"/>
    <n v="4"/>
    <n v="-2"/>
    <n v="0"/>
    <n v="31"/>
    <n v="1"/>
    <n v="1"/>
    <n v="1"/>
    <n v="0"/>
    <n v="754"/>
    <n v="26"/>
    <x v="2"/>
    <n v="1"/>
    <n v="1"/>
    <n v="63"/>
    <n v="3"/>
    <n v="2"/>
    <n v="1"/>
    <n v="5617"/>
    <n v="21075"/>
    <n v="1"/>
    <n v="11"/>
    <x v="0"/>
    <n v="3"/>
    <n v="80"/>
    <n v="0"/>
    <n v="10"/>
    <n v="3"/>
    <n v="10"/>
    <n v="7"/>
    <n v="0"/>
    <n v="8"/>
  </r>
  <r>
    <s v="Yes"/>
    <s v="Travel_Rarely"/>
    <x v="2"/>
    <s v="Ex-Employees"/>
    <x v="2"/>
    <x v="5"/>
    <s v="STAFF-1844"/>
    <n v="1844"/>
    <x v="1"/>
    <x v="8"/>
    <x v="2"/>
    <s v="Yes"/>
    <s v="Y"/>
    <n v="3"/>
    <n v="-2"/>
    <n v="0"/>
    <n v="29"/>
    <n v="1"/>
    <n v="1"/>
    <n v="1"/>
    <n v="0"/>
    <n v="350"/>
    <n v="13"/>
    <x v="3"/>
    <n v="1"/>
    <n v="1"/>
    <n v="56"/>
    <n v="2"/>
    <n v="1"/>
    <n v="1"/>
    <n v="2335"/>
    <n v="3157"/>
    <n v="4"/>
    <n v="15"/>
    <x v="0"/>
    <n v="4"/>
    <n v="80"/>
    <n v="3"/>
    <n v="4"/>
    <n v="3"/>
    <n v="2"/>
    <n v="2"/>
    <n v="2"/>
    <n v="0"/>
  </r>
  <r>
    <s v="Yes"/>
    <s v="Travel_Rarely"/>
    <x v="2"/>
    <s v="Ex-Employees"/>
    <x v="1"/>
    <x v="2"/>
    <s v="STAFF-2027"/>
    <n v="2027"/>
    <x v="1"/>
    <x v="1"/>
    <x v="1"/>
    <s v="Yes"/>
    <s v="Y"/>
    <n v="3"/>
    <n v="-2"/>
    <n v="0"/>
    <n v="29"/>
    <n v="1"/>
    <n v="1"/>
    <n v="1"/>
    <n v="0"/>
    <n v="1092"/>
    <n v="1"/>
    <x v="2"/>
    <n v="1"/>
    <n v="1"/>
    <n v="36"/>
    <n v="3"/>
    <n v="1"/>
    <n v="4"/>
    <n v="4787"/>
    <n v="26124"/>
    <n v="9"/>
    <n v="14"/>
    <x v="0"/>
    <n v="2"/>
    <n v="80"/>
    <n v="3"/>
    <n v="4"/>
    <n v="4"/>
    <n v="2"/>
    <n v="2"/>
    <n v="2"/>
    <n v="2"/>
  </r>
  <r>
    <s v="Yes"/>
    <s v="Travel_Rarely"/>
    <x v="2"/>
    <s v="Ex-Employees"/>
    <x v="1"/>
    <x v="2"/>
    <s v="STAFF-1604"/>
    <n v="1604"/>
    <x v="1"/>
    <x v="2"/>
    <x v="1"/>
    <s v="Yes"/>
    <s v="Y"/>
    <n v="3"/>
    <n v="-2"/>
    <n v="0"/>
    <n v="28"/>
    <n v="1"/>
    <n v="1"/>
    <n v="1"/>
    <n v="0"/>
    <n v="329"/>
    <n v="24"/>
    <x v="3"/>
    <n v="1"/>
    <n v="3"/>
    <n v="51"/>
    <n v="3"/>
    <n v="1"/>
    <n v="2"/>
    <n v="2408"/>
    <n v="7324"/>
    <n v="1"/>
    <n v="17"/>
    <x v="0"/>
    <n v="3"/>
    <n v="80"/>
    <n v="3"/>
    <n v="1"/>
    <n v="3"/>
    <n v="1"/>
    <n v="1"/>
    <n v="0"/>
    <n v="0"/>
  </r>
  <r>
    <s v="Yes"/>
    <s v="Travel_Rarely"/>
    <x v="0"/>
    <s v="Ex-Employees"/>
    <x v="1"/>
    <x v="0"/>
    <s v="STAFF-1649"/>
    <n v="1649"/>
    <x v="1"/>
    <x v="2"/>
    <x v="0"/>
    <s v="Yes"/>
    <s v="Y"/>
    <n v="3"/>
    <n v="-2"/>
    <n v="0"/>
    <n v="40"/>
    <n v="1"/>
    <n v="1"/>
    <n v="1"/>
    <n v="0"/>
    <n v="1329"/>
    <n v="7"/>
    <x v="3"/>
    <n v="1"/>
    <n v="1"/>
    <n v="73"/>
    <n v="3"/>
    <n v="1"/>
    <n v="1"/>
    <n v="2166"/>
    <n v="3339"/>
    <n v="3"/>
    <n v="14"/>
    <x v="0"/>
    <n v="2"/>
    <n v="80"/>
    <n v="0"/>
    <n v="10"/>
    <n v="1"/>
    <n v="4"/>
    <n v="2"/>
    <n v="0"/>
    <n v="3"/>
  </r>
  <r>
    <s v="Yes"/>
    <s v="Travel_Rarely"/>
    <x v="4"/>
    <s v="Ex-Employees"/>
    <x v="1"/>
    <x v="2"/>
    <s v="STAFF-1684"/>
    <n v="1684"/>
    <x v="1"/>
    <x v="2"/>
    <x v="0"/>
    <s v="Yes"/>
    <s v="Y"/>
    <n v="2"/>
    <n v="-2"/>
    <n v="0"/>
    <n v="23"/>
    <n v="1"/>
    <n v="1"/>
    <n v="1"/>
    <n v="0"/>
    <n v="1320"/>
    <n v="8"/>
    <x v="1"/>
    <n v="1"/>
    <n v="4"/>
    <n v="93"/>
    <n v="2"/>
    <n v="1"/>
    <n v="3"/>
    <n v="3989"/>
    <n v="20586"/>
    <n v="1"/>
    <n v="11"/>
    <x v="0"/>
    <n v="1"/>
    <n v="80"/>
    <n v="0"/>
    <n v="5"/>
    <n v="3"/>
    <n v="5"/>
    <n v="4"/>
    <n v="1"/>
    <n v="2"/>
  </r>
  <r>
    <s v="Yes"/>
    <s v="Travel_Rarely"/>
    <x v="1"/>
    <s v="Ex-Employees"/>
    <x v="0"/>
    <x v="3"/>
    <s v="STAFF-2055"/>
    <n v="2055"/>
    <x v="1"/>
    <x v="0"/>
    <x v="2"/>
    <s v="Yes"/>
    <s v="Y"/>
    <n v="3"/>
    <n v="-2"/>
    <n v="0"/>
    <n v="50"/>
    <n v="1"/>
    <n v="1"/>
    <n v="1"/>
    <n v="0"/>
    <n v="410"/>
    <n v="28"/>
    <x v="3"/>
    <n v="1"/>
    <n v="4"/>
    <n v="39"/>
    <n v="2"/>
    <n v="3"/>
    <n v="1"/>
    <n v="10854"/>
    <n v="16586"/>
    <n v="4"/>
    <n v="13"/>
    <x v="0"/>
    <n v="2"/>
    <n v="80"/>
    <n v="1"/>
    <n v="20"/>
    <n v="3"/>
    <n v="3"/>
    <n v="2"/>
    <n v="2"/>
    <n v="0"/>
  </r>
  <r>
    <s v="Yes"/>
    <s v="Travel_Rarely"/>
    <x v="0"/>
    <s v="Ex-Employees"/>
    <x v="0"/>
    <x v="2"/>
    <s v="STAFF-1645"/>
    <n v="1645"/>
    <x v="1"/>
    <x v="0"/>
    <x v="2"/>
    <s v="Yes"/>
    <s v="Y"/>
    <n v="2"/>
    <n v="-2"/>
    <n v="0"/>
    <n v="35"/>
    <n v="1"/>
    <n v="1"/>
    <n v="1"/>
    <n v="0"/>
    <n v="763"/>
    <n v="15"/>
    <x v="0"/>
    <n v="1"/>
    <n v="1"/>
    <n v="59"/>
    <n v="1"/>
    <n v="2"/>
    <n v="4"/>
    <n v="5440"/>
    <n v="22098"/>
    <n v="6"/>
    <n v="14"/>
    <x v="0"/>
    <n v="4"/>
    <n v="80"/>
    <n v="2"/>
    <n v="7"/>
    <n v="2"/>
    <n v="2"/>
    <n v="2"/>
    <n v="2"/>
    <n v="2"/>
  </r>
  <r>
    <s v="Yes"/>
    <s v="Travel_Rarely"/>
    <x v="0"/>
    <s v="Ex-Employees"/>
    <x v="0"/>
    <x v="3"/>
    <s v="STAFF-1733"/>
    <n v="1733"/>
    <x v="1"/>
    <x v="0"/>
    <x v="2"/>
    <s v="Yes"/>
    <s v="Y"/>
    <n v="3"/>
    <n v="-2"/>
    <n v="0"/>
    <n v="36"/>
    <n v="1"/>
    <n v="1"/>
    <n v="1"/>
    <n v="0"/>
    <n v="1456"/>
    <n v="13"/>
    <x v="4"/>
    <n v="1"/>
    <n v="2"/>
    <n v="96"/>
    <n v="2"/>
    <n v="2"/>
    <n v="1"/>
    <n v="6134"/>
    <n v="8658"/>
    <n v="5"/>
    <n v="13"/>
    <x v="0"/>
    <n v="2"/>
    <n v="80"/>
    <n v="3"/>
    <n v="16"/>
    <n v="3"/>
    <n v="2"/>
    <n v="2"/>
    <n v="2"/>
    <n v="2"/>
  </r>
  <r>
    <s v="Yes"/>
    <s v="Travel_Rarely"/>
    <x v="1"/>
    <s v="Ex-Employees"/>
    <x v="0"/>
    <x v="0"/>
    <s v="STAFF-1968"/>
    <n v="1968"/>
    <x v="1"/>
    <x v="0"/>
    <x v="0"/>
    <s v="Yes"/>
    <s v="Y"/>
    <n v="2"/>
    <n v="-2"/>
    <n v="0"/>
    <n v="53"/>
    <n v="1"/>
    <n v="1"/>
    <n v="1"/>
    <n v="0"/>
    <n v="1168"/>
    <n v="24"/>
    <x v="2"/>
    <n v="1"/>
    <n v="1"/>
    <n v="66"/>
    <n v="3"/>
    <n v="3"/>
    <n v="1"/>
    <n v="10448"/>
    <n v="5843"/>
    <n v="6"/>
    <n v="13"/>
    <x v="0"/>
    <n v="2"/>
    <n v="80"/>
    <n v="0"/>
    <n v="15"/>
    <n v="2"/>
    <n v="2"/>
    <n v="2"/>
    <n v="2"/>
    <n v="2"/>
  </r>
  <r>
    <s v="Yes"/>
    <s v="Travel_Rarely"/>
    <x v="2"/>
    <s v="Ex-Employees"/>
    <x v="0"/>
    <x v="3"/>
    <s v="STAFF-1862"/>
    <n v="1862"/>
    <x v="1"/>
    <x v="0"/>
    <x v="0"/>
    <s v="Yes"/>
    <s v="Y"/>
    <n v="3"/>
    <n v="-2"/>
    <n v="0"/>
    <n v="32"/>
    <n v="1"/>
    <n v="1"/>
    <n v="1"/>
    <n v="0"/>
    <n v="414"/>
    <n v="2"/>
    <x v="2"/>
    <n v="1"/>
    <n v="3"/>
    <n v="82"/>
    <n v="2"/>
    <n v="2"/>
    <n v="2"/>
    <n v="9907"/>
    <n v="26186"/>
    <n v="7"/>
    <n v="12"/>
    <x v="0"/>
    <n v="3"/>
    <n v="80"/>
    <n v="0"/>
    <n v="7"/>
    <n v="2"/>
    <n v="2"/>
    <n v="2"/>
    <n v="2"/>
    <n v="2"/>
  </r>
  <r>
    <s v="Yes"/>
    <s v="Travel_Rarely"/>
    <x v="0"/>
    <s v="Ex-Employees"/>
    <x v="0"/>
    <x v="0"/>
    <s v="STAFF-1797"/>
    <n v="1797"/>
    <x v="1"/>
    <x v="0"/>
    <x v="0"/>
    <s v="Yes"/>
    <s v="Y"/>
    <n v="2"/>
    <n v="-2"/>
    <n v="0"/>
    <n v="35"/>
    <n v="1"/>
    <n v="1"/>
    <n v="1"/>
    <n v="0"/>
    <n v="303"/>
    <n v="27"/>
    <x v="3"/>
    <n v="1"/>
    <n v="3"/>
    <n v="84"/>
    <n v="3"/>
    <n v="2"/>
    <n v="4"/>
    <n v="5813"/>
    <n v="13492"/>
    <n v="1"/>
    <n v="18"/>
    <x v="0"/>
    <n v="4"/>
    <n v="80"/>
    <n v="0"/>
    <n v="10"/>
    <n v="3"/>
    <n v="10"/>
    <n v="7"/>
    <n v="7"/>
    <n v="7"/>
  </r>
  <r>
    <s v="Yes"/>
    <s v="Travel_Rarely"/>
    <x v="1"/>
    <s v="Ex-Employees"/>
    <x v="1"/>
    <x v="2"/>
    <s v="STAFF-1821"/>
    <n v="1821"/>
    <x v="0"/>
    <x v="4"/>
    <x v="1"/>
    <s v="No"/>
    <s v="Y"/>
    <n v="2"/>
    <n v="-2"/>
    <n v="0"/>
    <n v="46"/>
    <n v="1"/>
    <n v="1"/>
    <n v="1"/>
    <n v="0"/>
    <n v="261"/>
    <n v="21"/>
    <x v="0"/>
    <n v="1"/>
    <n v="4"/>
    <n v="66"/>
    <n v="3"/>
    <n v="2"/>
    <n v="2"/>
    <n v="8926"/>
    <n v="10842"/>
    <n v="4"/>
    <n v="22"/>
    <x v="1"/>
    <n v="4"/>
    <n v="80"/>
    <n v="1"/>
    <n v="13"/>
    <n v="4"/>
    <n v="9"/>
    <n v="7"/>
    <n v="3"/>
    <n v="7"/>
  </r>
  <r>
    <s v="Yes"/>
    <s v="Travel_Rarely"/>
    <x v="1"/>
    <s v="Ex-Employees"/>
    <x v="0"/>
    <x v="0"/>
    <s v="STAFF-1869"/>
    <n v="1869"/>
    <x v="0"/>
    <x v="0"/>
    <x v="1"/>
    <s v="No"/>
    <s v="Y"/>
    <n v="2"/>
    <n v="-2"/>
    <n v="0"/>
    <n v="46"/>
    <n v="1"/>
    <n v="1"/>
    <n v="1"/>
    <n v="0"/>
    <n v="1254"/>
    <n v="10"/>
    <x v="3"/>
    <n v="1"/>
    <n v="3"/>
    <n v="64"/>
    <n v="3"/>
    <n v="3"/>
    <n v="2"/>
    <n v="7314"/>
    <n v="14011"/>
    <n v="5"/>
    <n v="21"/>
    <x v="1"/>
    <n v="3"/>
    <n v="80"/>
    <n v="3"/>
    <n v="14"/>
    <n v="3"/>
    <n v="8"/>
    <n v="7"/>
    <n v="0"/>
    <n v="7"/>
  </r>
  <r>
    <s v="Yes"/>
    <s v="Travel_Frequently"/>
    <x v="1"/>
    <s v="Ex-Employees"/>
    <x v="1"/>
    <x v="0"/>
    <s v="STAFF-1420"/>
    <n v="1420"/>
    <x v="1"/>
    <x v="2"/>
    <x v="0"/>
    <s v="No"/>
    <s v="Y"/>
    <n v="2"/>
    <n v="-2"/>
    <n v="0"/>
    <n v="49"/>
    <n v="1"/>
    <n v="1"/>
    <n v="1"/>
    <n v="0"/>
    <n v="1475"/>
    <n v="28"/>
    <x v="0"/>
    <n v="1"/>
    <n v="1"/>
    <n v="97"/>
    <n v="2"/>
    <n v="2"/>
    <n v="1"/>
    <n v="4284"/>
    <n v="22710"/>
    <n v="3"/>
    <n v="20"/>
    <x v="1"/>
    <n v="1"/>
    <n v="80"/>
    <n v="0"/>
    <n v="20"/>
    <n v="3"/>
    <n v="4"/>
    <n v="3"/>
    <n v="1"/>
    <n v="3"/>
  </r>
  <r>
    <s v="Yes"/>
    <s v="Non-Travel"/>
    <x v="0"/>
    <s v="Ex-Employees"/>
    <x v="1"/>
    <x v="0"/>
    <s v="STAFF-1458"/>
    <n v="1458"/>
    <x v="0"/>
    <x v="2"/>
    <x v="0"/>
    <s v="Yes"/>
    <s v="Y"/>
    <n v="2"/>
    <n v="-2"/>
    <n v="0"/>
    <n v="39"/>
    <n v="1"/>
    <n v="1"/>
    <n v="1"/>
    <n v="0"/>
    <n v="592"/>
    <n v="2"/>
    <x v="3"/>
    <n v="1"/>
    <n v="1"/>
    <n v="54"/>
    <n v="2"/>
    <n v="1"/>
    <n v="1"/>
    <n v="3646"/>
    <n v="17181"/>
    <n v="2"/>
    <n v="23"/>
    <x v="1"/>
    <n v="2"/>
    <n v="80"/>
    <n v="0"/>
    <n v="11"/>
    <n v="4"/>
    <n v="1"/>
    <n v="0"/>
    <n v="0"/>
    <n v="0"/>
  </r>
  <r>
    <s v="Yes"/>
    <s v="Travel_Rarely"/>
    <x v="2"/>
    <s v="Ex-Employees"/>
    <x v="0"/>
    <x v="2"/>
    <s v="STAFF-1489"/>
    <n v="1489"/>
    <x v="0"/>
    <x v="0"/>
    <x v="0"/>
    <s v="Yes"/>
    <s v="Y"/>
    <n v="2"/>
    <n v="-2"/>
    <n v="0"/>
    <n v="34"/>
    <n v="1"/>
    <n v="1"/>
    <n v="1"/>
    <n v="0"/>
    <n v="790"/>
    <n v="24"/>
    <x v="2"/>
    <n v="1"/>
    <n v="1"/>
    <n v="40"/>
    <n v="2"/>
    <n v="2"/>
    <n v="2"/>
    <n v="4599"/>
    <n v="7815"/>
    <n v="0"/>
    <n v="23"/>
    <x v="1"/>
    <n v="3"/>
    <n v="80"/>
    <n v="0"/>
    <n v="16"/>
    <n v="4"/>
    <n v="15"/>
    <n v="9"/>
    <n v="10"/>
    <n v="10"/>
  </r>
  <r>
    <s v="Yes"/>
    <s v="Travel_Rarely"/>
    <x v="2"/>
    <s v="Ex-Employees"/>
    <x v="0"/>
    <x v="0"/>
    <s v="STAFF-1758"/>
    <n v="1758"/>
    <x v="0"/>
    <x v="0"/>
    <x v="0"/>
    <s v="Yes"/>
    <s v="Y"/>
    <n v="2"/>
    <n v="-2"/>
    <n v="0"/>
    <n v="33"/>
    <n v="1"/>
    <n v="1"/>
    <n v="1"/>
    <n v="0"/>
    <n v="211"/>
    <n v="16"/>
    <x v="3"/>
    <n v="1"/>
    <n v="1"/>
    <n v="74"/>
    <n v="3"/>
    <n v="3"/>
    <n v="1"/>
    <n v="8564"/>
    <n v="10092"/>
    <n v="2"/>
    <n v="20"/>
    <x v="1"/>
    <n v="3"/>
    <n v="80"/>
    <n v="0"/>
    <n v="11"/>
    <n v="2"/>
    <n v="0"/>
    <n v="0"/>
    <n v="0"/>
    <n v="0"/>
  </r>
  <r>
    <s v="Yes"/>
    <s v="Non-Travel"/>
    <x v="2"/>
    <s v="Ex-Employees"/>
    <x v="1"/>
    <x v="4"/>
    <s v="STAFF-1905"/>
    <n v="1905"/>
    <x v="1"/>
    <x v="1"/>
    <x v="1"/>
    <s v="Yes"/>
    <s v="Y"/>
    <n v="2"/>
    <n v="-2"/>
    <n v="0"/>
    <n v="34"/>
    <n v="1"/>
    <n v="1"/>
    <n v="1"/>
    <n v="0"/>
    <n v="967"/>
    <n v="16"/>
    <x v="2"/>
    <n v="1"/>
    <n v="4"/>
    <n v="85"/>
    <n v="1"/>
    <n v="1"/>
    <n v="1"/>
    <n v="2307"/>
    <n v="14460"/>
    <n v="1"/>
    <n v="23"/>
    <x v="1"/>
    <n v="2"/>
    <n v="80"/>
    <n v="1"/>
    <n v="5"/>
    <n v="3"/>
    <n v="5"/>
    <n v="2"/>
    <n v="3"/>
    <n v="0"/>
  </r>
  <r>
    <s v="Yes"/>
    <s v="Travel_Frequently"/>
    <x v="2"/>
    <s v="Ex-Employees"/>
    <x v="1"/>
    <x v="0"/>
    <s v="STAFF-1868"/>
    <n v="1868"/>
    <x v="1"/>
    <x v="1"/>
    <x v="0"/>
    <s v="Yes"/>
    <s v="Y"/>
    <n v="3"/>
    <n v="-2"/>
    <n v="0"/>
    <n v="29"/>
    <n v="1"/>
    <n v="1"/>
    <n v="1"/>
    <n v="0"/>
    <n v="459"/>
    <n v="24"/>
    <x v="0"/>
    <n v="1"/>
    <n v="4"/>
    <n v="73"/>
    <n v="2"/>
    <n v="1"/>
    <n v="4"/>
    <n v="2439"/>
    <n v="14753"/>
    <n v="1"/>
    <n v="24"/>
    <x v="1"/>
    <n v="2"/>
    <n v="80"/>
    <n v="0"/>
    <n v="1"/>
    <n v="2"/>
    <n v="1"/>
    <n v="0"/>
    <n v="1"/>
    <n v="0"/>
  </r>
  <r>
    <s v="Yes"/>
    <s v="Travel_Frequently"/>
    <x v="0"/>
    <s v="Ex-Employees"/>
    <x v="0"/>
    <x v="1"/>
    <s v="STAFF-1667"/>
    <n v="1667"/>
    <x v="1"/>
    <x v="0"/>
    <x v="0"/>
    <s v="Yes"/>
    <s v="Y"/>
    <n v="2"/>
    <n v="-2"/>
    <n v="0"/>
    <n v="35"/>
    <n v="1"/>
    <n v="1"/>
    <n v="1"/>
    <n v="0"/>
    <n v="880"/>
    <n v="12"/>
    <x v="2"/>
    <n v="1"/>
    <n v="4"/>
    <n v="36"/>
    <n v="3"/>
    <n v="2"/>
    <n v="4"/>
    <n v="4581"/>
    <n v="10414"/>
    <n v="3"/>
    <n v="24"/>
    <x v="1"/>
    <n v="1"/>
    <n v="80"/>
    <n v="0"/>
    <n v="13"/>
    <n v="4"/>
    <n v="11"/>
    <n v="9"/>
    <n v="6"/>
    <n v="7"/>
  </r>
  <r>
    <s v="Yes"/>
    <s v="Travel_Rarely"/>
    <x v="4"/>
    <s v="Ex-Employees"/>
    <x v="1"/>
    <x v="0"/>
    <s v="STAFF-1878"/>
    <n v="1878"/>
    <x v="1"/>
    <x v="1"/>
    <x v="0"/>
    <s v="Yes"/>
    <s v="Y"/>
    <n v="2"/>
    <n v="-2"/>
    <n v="0"/>
    <n v="22"/>
    <n v="1"/>
    <n v="1"/>
    <n v="1"/>
    <n v="0"/>
    <n v="391"/>
    <n v="7"/>
    <x v="1"/>
    <n v="1"/>
    <n v="4"/>
    <n v="75"/>
    <n v="3"/>
    <n v="1"/>
    <n v="2"/>
    <n v="2472"/>
    <n v="26092"/>
    <n v="1"/>
    <n v="23"/>
    <x v="1"/>
    <n v="1"/>
    <n v="80"/>
    <n v="0"/>
    <n v="1"/>
    <n v="3"/>
    <n v="1"/>
    <n v="0"/>
    <n v="0"/>
    <n v="0"/>
  </r>
  <r>
    <s v="Yes"/>
    <s v="Travel_Rarely"/>
    <x v="4"/>
    <s v="Ex-Employees"/>
    <x v="0"/>
    <x v="0"/>
    <s v="STAFF-1702"/>
    <n v="1702"/>
    <x v="1"/>
    <x v="6"/>
    <x v="2"/>
    <s v="Yes"/>
    <s v="Y"/>
    <n v="2"/>
    <n v="-2"/>
    <n v="0"/>
    <n v="23"/>
    <n v="1"/>
    <n v="1"/>
    <n v="1"/>
    <n v="0"/>
    <n v="427"/>
    <n v="7"/>
    <x v="3"/>
    <n v="1"/>
    <n v="3"/>
    <n v="99"/>
    <n v="3"/>
    <n v="1"/>
    <n v="4"/>
    <n v="2275"/>
    <n v="25103"/>
    <n v="1"/>
    <n v="21"/>
    <x v="1"/>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D452D2-D72D-44EF-AF6B-09C5AA931F02}" name="Department_at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9495C2-7184-4C95-87E7-FC42D141A85F}"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s" fld="18"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88EAF1-0E6A-4A46-B943-7D7FED06708B}"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1504C0-6FB9-45D8-B3B4-343E24EE9BE9}"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F105AF-5F3E-491D-A410-D1072A9D2176}" name="age_at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Group">
  <location ref="A3:B24"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10"/>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Attrition count"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778936-3B6D-483B-BAA0-F0B6B5432461}" name="job_at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22DD98-6D00-4572-A007-B3826F19C1E5}" name="education_at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A07FF4D-147D-4678-AC3D-1E8A8FBA1A7B}" sourceName="Education">
  <pivotTables>
    <pivotTable tabId="7" name="Rating"/>
  </pivotTables>
  <data>
    <tabular pivotCacheId="1040949097">
      <items count="5">
        <i x="0" s="1"/>
        <i x="3"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EB6C5BF-3564-4FD5-99F2-92FC9C060956}" sourceName="Gender">
  <pivotTables>
    <pivotTable tabId="8" name="Gender"/>
    <pivotTable tabId="10" name="age_att"/>
    <pivotTable tabId="12" name="Department_att"/>
    <pivotTable tabId="9" name="education_att"/>
    <pivotTable tabId="11" name="job_att"/>
    <pivotTable tabId="4" name="KPI"/>
    <pivotTable tabId="7" name="Rating"/>
  </pivotTables>
  <data>
    <tabular pivotCacheId="104094909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AC1597A-9EB6-4336-BA1A-7A9F1D18FEC4}" sourceName="Department">
  <pivotTables>
    <pivotTable tabId="9" name="education_att"/>
    <pivotTable tabId="10" name="age_att"/>
    <pivotTable tabId="12" name="Department_att"/>
    <pivotTable tabId="8" name="Gender"/>
    <pivotTable tabId="11" name="job_att"/>
    <pivotTable tabId="4" name="KPI"/>
    <pivotTable tabId="7" name="Rating"/>
  </pivotTables>
  <data>
    <tabular pivotCacheId="104094909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1FB84084-3F75-49BC-8CC1-CD62FF025FEE}" sourceName="Education Field">
  <pivotTables>
    <pivotTable tabId="9" name="education_att"/>
    <pivotTable tabId="10" name="age_att"/>
    <pivotTable tabId="12" name="Department_att"/>
    <pivotTable tabId="8" name="Gender"/>
    <pivotTable tabId="11" name="job_att"/>
    <pivotTable tabId="4" name="KPI"/>
    <pivotTable tabId="7" name="Rating"/>
  </pivotTables>
  <data>
    <tabular pivotCacheId="1040949097">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7D228BEE-C63C-4D9E-A256-76DF3173E93D}" cache="Slicer_Education" caption="Education" rowHeight="234950"/>
  <slicer name="Gender" xr10:uid="{5DDE2E02-1452-42F0-AC7C-2B543BEA7162}" cache="Slicer_Gender1"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EA1D6F4-BD4F-4FF2-AC97-707F938C9CEB}" cache="Slicer_Gender1" caption="Gender" rowHeight="234950"/>
  <slicer name="Education Field" xr10:uid="{A0E1B16D-B62A-49CA-8D66-5596991975D6}" cache="Slicer_Education_Field1" caption="Education Fiel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58AC08B-32E7-4D0C-B3C2-A6156E09D241}" cache="Slicer_Department" caption="Department" rowHeight="234950"/>
  <slicer name="Education Field 1" xr10:uid="{71D9FB92-F79E-413F-B491-9BAADC4F2BE5}" cache="Slicer_Education_Field1" caption="Education Fiel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40216D93-9D47-472B-8634-B5BBBD7CAB6D}" cache="Slicer_Gender1" columnCount="2" style="Transparent Slicer" rowHeight="234950"/>
  <slicer name="Department 1" xr10:uid="{4C4867E3-F583-4DC7-AEAA-9E2A9174AF14}" cache="Slicer_Department" style="Slicer" rowHeight="234950"/>
  <slicer name="Education Field 2" xr10:uid="{C1C747FD-D9C7-4937-A774-C47F1A7B0FE5}" cache="Slicer_Education_Field1" style="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912EE8-F04F-444F-AAF6-7B3231C84179}" name="Table1" displayName="Table1" ref="A1:AR1471" totalsRowShown="0">
  <tableColumns count="44">
    <tableColumn id="1" xr3:uid="{37E4DF51-1260-4241-A2A7-510E7B2B370B}" name="Attrition"/>
    <tableColumn id="2" xr3:uid="{CA1AE7BC-1D0B-42BC-891D-6A3ABE000CE4}" name="Business Travel"/>
    <tableColumn id="3" xr3:uid="{9D69B3F0-CF97-4203-B831-93FAD3E67D40}" name="CF_age band"/>
    <tableColumn id="4" xr3:uid="{EEA580C7-BA57-44B2-AE7F-5C785440D297}" name="CF_attrition label"/>
    <tableColumn id="5" xr3:uid="{004A9DDA-EB72-4FE5-9A36-CA2CFEA82C4E}" name="Department"/>
    <tableColumn id="6" xr3:uid="{048ACF30-46E3-4DB3-88FE-DD3A05F1CE5B}" name="Education Field"/>
    <tableColumn id="7" xr3:uid="{638E4C08-0AB1-4CC6-ADE9-D65133866796}" name="emp no"/>
    <tableColumn id="8" xr3:uid="{F06D51DF-6EE9-4AFA-B225-9BB9AF24227E}" name="Employee Number"/>
    <tableColumn id="9" xr3:uid="{4C36E032-9D8E-4A87-A6DF-9BBB70AC457B}" name="Gender"/>
    <tableColumn id="10" xr3:uid="{F0117BB0-939F-42BC-A9A6-A67B873FD597}" name="Job Role"/>
    <tableColumn id="11" xr3:uid="{7DFEC122-1FFF-417C-95CE-C69A05ED7516}" name="Marital Status"/>
    <tableColumn id="12" xr3:uid="{2461D2D1-3830-42DD-95C1-D1AD0BAE899B}" name="Over Time"/>
    <tableColumn id="13" xr3:uid="{3AF144B8-DE6E-40CF-8EB6-6AD2A596160B}" name="Over18"/>
    <tableColumn id="14" xr3:uid="{535A091A-AF30-4A50-984A-F81015DF7D0C}" name="Training Times Last Year"/>
    <tableColumn id="15" xr3:uid="{B9103403-B5CE-4B40-8912-D43856282035}" name="-2"/>
    <tableColumn id="16" xr3:uid="{F87936DD-E3C8-4BC6-AE2C-1DDDF1E626A3}" name="0"/>
    <tableColumn id="17" xr3:uid="{42C9EC73-00D3-402C-B0FD-E3B3AC225CD9}" name="Age"/>
    <tableColumn id="18" xr3:uid="{7F33FB72-DFE3-4A74-B8EF-2C32242BEF79}" name="CF_attrition count"/>
    <tableColumn id="19" xr3:uid="{4DFC0C53-071B-4A51-BCC5-AEB5B75BC34A}" name="CF_attrition counts"/>
    <tableColumn id="20" xr3:uid="{0463A421-AC41-4D82-A283-54B9CD993AC3}" name="CF_attrition rate"/>
    <tableColumn id="21" xr3:uid="{9C50E208-8751-45F3-A9FD-45764F888D84}" name="CF_current Employee"/>
    <tableColumn id="22" xr3:uid="{547B5CB3-AD78-4138-8EC8-1F65E9EAA45E}" name="Daily Rate"/>
    <tableColumn id="23" xr3:uid="{C3A79709-1F33-42D8-968F-89C42A4BEDC4}" name="Distance From Home"/>
    <tableColumn id="24" xr3:uid="{10DEFECD-7BB3-4AD2-85AE-E8E3A447AEFC}" name="Education"/>
    <tableColumn id="25" xr3:uid="{DFD1FA38-733E-4C3A-A566-66A5AA129E04}" name="Employee Count"/>
    <tableColumn id="26" xr3:uid="{ED963285-D45F-4445-8E4A-08B1BC78C15A}" name="Environment Satisfaction"/>
    <tableColumn id="27" xr3:uid="{33FF6929-D353-4953-A3B0-175E3EA2E01B}" name="Hourly Rate"/>
    <tableColumn id="28" xr3:uid="{BC80EBA6-4B7D-4B97-BF59-811F1DCCD47E}" name="Job Involvement"/>
    <tableColumn id="29" xr3:uid="{1EB178CA-430E-4346-B90E-5448F7E0C992}" name="Job Level"/>
    <tableColumn id="30" xr3:uid="{2D8F46A1-8F0D-44C3-9058-490D0987BB28}" name="Job Satisfaction"/>
    <tableColumn id="31" xr3:uid="{74202179-6B60-4FED-B248-6A119DFF3183}" name="Monthly Income"/>
    <tableColumn id="32" xr3:uid="{5D4CF592-DBA5-47D6-9A5A-59F4DECED54E}" name="Monthly Rate"/>
    <tableColumn id="33" xr3:uid="{B12BA8E5-81A0-4C0F-BA60-5D181B86760E}" name="Num Companies Worked"/>
    <tableColumn id="34" xr3:uid="{5636D71C-6BB1-442C-95C2-082FCC22E304}" name="Percent Salary Hike"/>
    <tableColumn id="35" xr3:uid="{A9924D34-BF82-4400-89E3-416F90E7C5F9}" name="Performance Rating"/>
    <tableColumn id="36" xr3:uid="{D4936691-6F7A-45E6-8F02-F09C1DD2648E}" name="Relationship Satisfaction"/>
    <tableColumn id="37" xr3:uid="{EA22BAEB-A496-4041-A4FD-A70D8E3CC0FE}" name="Standard Hours"/>
    <tableColumn id="38" xr3:uid="{0C71BBF0-4986-4AAD-AE5E-77A3F7010206}" name="Stock Option Level"/>
    <tableColumn id="39" xr3:uid="{B6D192C5-3DBC-4520-BEB4-7E3D04B04DC7}" name="Total Working Years"/>
    <tableColumn id="40" xr3:uid="{69081E87-A97C-4A2D-8130-7F4989542C41}" name="Work Life Balance"/>
    <tableColumn id="41" xr3:uid="{0F47ED43-8C63-4777-8ADE-5841A5582AB4}" name="Years At Company"/>
    <tableColumn id="42" xr3:uid="{CEEC07AA-AF21-4525-992E-5E3F228B341C}" name="Years In Current Role"/>
    <tableColumn id="43" xr3:uid="{341EBF61-78A6-4E7D-8150-6BA1FECA047A}" name="Years Since Last Promotion"/>
    <tableColumn id="44" xr3:uid="{BD551E06-B72F-4D02-B40B-D17F8BE23BE4}"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D7548-8E48-4DFA-944A-D2978F208651}">
  <dimension ref="A3:B7"/>
  <sheetViews>
    <sheetView workbookViewId="0">
      <selection activeCell="B4" sqref="B4"/>
    </sheetView>
  </sheetViews>
  <sheetFormatPr defaultRowHeight="14.4" x14ac:dyDescent="0.3"/>
  <cols>
    <col min="1" max="1" width="12.5546875" bestFit="1" customWidth="1"/>
    <col min="2" max="2" width="22.88671875" bestFit="1" customWidth="1"/>
  </cols>
  <sheetData>
    <row r="3" spans="1:2" x14ac:dyDescent="0.3">
      <c r="A3" s="1" t="s">
        <v>1554</v>
      </c>
      <c r="B3" t="s">
        <v>1576</v>
      </c>
    </row>
    <row r="4" spans="1:2" x14ac:dyDescent="0.3">
      <c r="A4" s="2" t="s">
        <v>161</v>
      </c>
      <c r="B4" s="9">
        <v>5.0632911392405063E-2</v>
      </c>
    </row>
    <row r="5" spans="1:2" x14ac:dyDescent="0.3">
      <c r="A5" s="2" t="s">
        <v>60</v>
      </c>
      <c r="B5" s="9">
        <v>0.56118143459915615</v>
      </c>
    </row>
    <row r="6" spans="1:2" x14ac:dyDescent="0.3">
      <c r="A6" s="2" t="s">
        <v>48</v>
      </c>
      <c r="B6" s="9">
        <v>0.3881856540084388</v>
      </c>
    </row>
    <row r="7" spans="1:2" x14ac:dyDescent="0.3">
      <c r="A7" s="2" t="s">
        <v>1555</v>
      </c>
      <c r="B7" s="9">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C390-186E-495E-818D-E638B0572332}">
  <dimension ref="A1:AR1471"/>
  <sheetViews>
    <sheetView topLeftCell="A2" workbookViewId="0">
      <selection sqref="A1:AR1471"/>
    </sheetView>
  </sheetViews>
  <sheetFormatPr defaultRowHeight="14.4" x14ac:dyDescent="0.3"/>
  <cols>
    <col min="1" max="1" width="8" bestFit="1" customWidth="1"/>
    <col min="2" max="2" width="15.6640625" bestFit="1" customWidth="1"/>
    <col min="3" max="3" width="11.77734375" bestFit="1" customWidth="1"/>
    <col min="4" max="4" width="16.44140625" bestFit="1" customWidth="1"/>
    <col min="5" max="5" width="11.109375" bestFit="1" customWidth="1"/>
    <col min="6" max="6" width="15.6640625" bestFit="1" customWidth="1"/>
    <col min="7" max="7" width="10.44140625" bestFit="1" customWidth="1"/>
    <col min="8" max="8" width="16.77734375" bestFit="1" customWidth="1"/>
    <col min="9" max="9" width="7.109375" bestFit="1" customWidth="1"/>
    <col min="10" max="10" width="22.88671875" bestFit="1" customWidth="1"/>
    <col min="11" max="11" width="12.6640625" bestFit="1" customWidth="1"/>
    <col min="12" max="12" width="9.5546875" bestFit="1" customWidth="1"/>
    <col min="13" max="13" width="7" bestFit="1" customWidth="1"/>
    <col min="14" max="14" width="21.33203125" bestFit="1" customWidth="1"/>
    <col min="15" max="15" width="2.6640625" bestFit="1" customWidth="1"/>
    <col min="16" max="16" width="2" bestFit="1" customWidth="1"/>
    <col min="17" max="17" width="4.21875" bestFit="1" customWidth="1"/>
    <col min="18" max="18" width="16.21875" bestFit="1" customWidth="1"/>
    <col min="19" max="19" width="17" bestFit="1" customWidth="1"/>
    <col min="20" max="20" width="14.6640625" bestFit="1" customWidth="1"/>
    <col min="21" max="21" width="19.109375" bestFit="1" customWidth="1"/>
    <col min="22" max="22" width="9.33203125" bestFit="1" customWidth="1"/>
    <col min="23" max="23" width="18.5546875" bestFit="1" customWidth="1"/>
    <col min="24" max="24" width="15.88671875" bestFit="1" customWidth="1"/>
    <col min="25" max="25" width="15" bestFit="1" customWidth="1"/>
    <col min="26" max="26" width="22.44140625" bestFit="1" customWidth="1"/>
    <col min="27" max="27" width="10.77734375" bestFit="1" customWidth="1"/>
    <col min="28" max="28" width="15.109375" bestFit="1" customWidth="1"/>
    <col min="29" max="29" width="8.6640625" bestFit="1" customWidth="1"/>
    <col min="30" max="30" width="14.21875" bestFit="1" customWidth="1"/>
    <col min="31" max="31" width="15.109375" bestFit="1" customWidth="1"/>
    <col min="32" max="32" width="12.44140625" bestFit="1" customWidth="1"/>
    <col min="33" max="33" width="22.33203125" bestFit="1" customWidth="1"/>
    <col min="34" max="34" width="17.33203125" bestFit="1" customWidth="1"/>
    <col min="35" max="35" width="17.88671875" bestFit="1" customWidth="1"/>
    <col min="36" max="36" width="21.88671875" bestFit="1" customWidth="1"/>
    <col min="37" max="37" width="14.109375" bestFit="1" customWidth="1"/>
    <col min="38" max="38" width="16.77734375" bestFit="1" customWidth="1"/>
    <col min="39" max="39" width="17.88671875" bestFit="1" customWidth="1"/>
    <col min="40" max="40" width="16.109375" bestFit="1" customWidth="1"/>
    <col min="41" max="41" width="16.44140625" bestFit="1" customWidth="1"/>
    <col min="42" max="42" width="18.6640625" bestFit="1" customWidth="1"/>
    <col min="43" max="43" width="23.88671875" bestFit="1" customWidth="1"/>
    <col min="44" max="44" width="22.218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01668-71C7-4D29-A063-25F5FE20E594}">
  <dimension ref="A3:F11"/>
  <sheetViews>
    <sheetView workbookViewId="0">
      <selection activeCell="A28" sqref="A28"/>
    </sheetView>
  </sheetViews>
  <sheetFormatPr defaultRowHeight="14.4" x14ac:dyDescent="0.3"/>
  <cols>
    <col min="1" max="1" width="24.77734375" bestFit="1" customWidth="1"/>
    <col min="2" max="2" width="23.6640625" bestFit="1" customWidth="1"/>
    <col min="3" max="3" width="13.88671875" bestFit="1" customWidth="1"/>
    <col min="4" max="4" width="15.88671875" customWidth="1"/>
    <col min="5" max="5" width="12.88671875" customWidth="1"/>
    <col min="6" max="6" width="13.21875" customWidth="1"/>
  </cols>
  <sheetData>
    <row r="3" spans="1:6" x14ac:dyDescent="0.3">
      <c r="A3" t="s">
        <v>1556</v>
      </c>
      <c r="B3" t="s">
        <v>1557</v>
      </c>
      <c r="C3" t="s">
        <v>1558</v>
      </c>
    </row>
    <row r="4" spans="1:6" x14ac:dyDescent="0.3">
      <c r="A4">
        <v>1470</v>
      </c>
      <c r="B4">
        <v>237</v>
      </c>
      <c r="C4">
        <v>36.923809523809524</v>
      </c>
    </row>
    <row r="10" spans="1:6" x14ac:dyDescent="0.3">
      <c r="A10" t="s">
        <v>1562</v>
      </c>
      <c r="B10" t="s">
        <v>1559</v>
      </c>
      <c r="C10" t="s">
        <v>1563</v>
      </c>
      <c r="D10" t="s">
        <v>1560</v>
      </c>
      <c r="E10" t="s">
        <v>1561</v>
      </c>
      <c r="F10" t="s">
        <v>1564</v>
      </c>
    </row>
    <row r="11" spans="1:6" x14ac:dyDescent="0.3">
      <c r="A11">
        <f>GETPIVOTDATA("Count of Employee Number",$A$3)</f>
        <v>1470</v>
      </c>
      <c r="B11">
        <f>GETPIVOTDATA("Sum of CF_attrition counts",$A$3)</f>
        <v>237</v>
      </c>
      <c r="C11" s="4">
        <f>GETPIVOTDATA("Average of Age",$A$3)</f>
        <v>36.923809523809524</v>
      </c>
      <c r="D11">
        <f>A11-B11</f>
        <v>1233</v>
      </c>
      <c r="E11" s="6">
        <f>B11/A11</f>
        <v>0.16122448979591836</v>
      </c>
      <c r="F11" s="6">
        <f>D11/A11</f>
        <v>0.83877551020408159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DFA79-7FB7-43A0-A99E-142BFEF76708}">
  <dimension ref="A3:C10"/>
  <sheetViews>
    <sheetView workbookViewId="0">
      <selection activeCell="I22" sqref="I22"/>
    </sheetView>
  </sheetViews>
  <sheetFormatPr defaultRowHeight="14.4" x14ac:dyDescent="0.3"/>
  <cols>
    <col min="1" max="1" width="24" bestFit="1" customWidth="1"/>
  </cols>
  <sheetData>
    <row r="3" spans="1:3" x14ac:dyDescent="0.3">
      <c r="A3" t="s">
        <v>1567</v>
      </c>
    </row>
    <row r="4" spans="1:3" x14ac:dyDescent="0.3">
      <c r="A4" s="3">
        <v>2.6265306122448981</v>
      </c>
    </row>
    <row r="7" spans="1:3" x14ac:dyDescent="0.3">
      <c r="A7" t="s">
        <v>1568</v>
      </c>
      <c r="B7" s="3">
        <f>GETPIVOTDATA("Job Satisfaction",$A$3)</f>
        <v>2.6265306122448981</v>
      </c>
      <c r="C7">
        <f>B7/4</f>
        <v>0.65663265306122454</v>
      </c>
    </row>
    <row r="8" spans="1:3" x14ac:dyDescent="0.3">
      <c r="A8" t="s">
        <v>1569</v>
      </c>
      <c r="B8" s="3">
        <f>4-B7</f>
        <v>1.3734693877551019</v>
      </c>
      <c r="C8">
        <f>B8/4</f>
        <v>0.34336734693877546</v>
      </c>
    </row>
    <row r="10" spans="1:3" x14ac:dyDescent="0.3">
      <c r="A10" t="s">
        <v>1570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756F-74BC-49DF-A61B-90C970A7C3F5}">
  <dimension ref="A3:C11"/>
  <sheetViews>
    <sheetView workbookViewId="0">
      <selection activeCell="AB31" sqref="AB31"/>
    </sheetView>
  </sheetViews>
  <sheetFormatPr defaultRowHeight="14.4" x14ac:dyDescent="0.3"/>
  <cols>
    <col min="1" max="1" width="12.5546875" bestFit="1" customWidth="1"/>
    <col min="2" max="2" width="24.77734375" bestFit="1" customWidth="1"/>
  </cols>
  <sheetData>
    <row r="3" spans="1:3" x14ac:dyDescent="0.3">
      <c r="A3" s="1" t="s">
        <v>1554</v>
      </c>
      <c r="B3" t="s">
        <v>1556</v>
      </c>
    </row>
    <row r="4" spans="1:3" x14ac:dyDescent="0.3">
      <c r="A4" s="2" t="s">
        <v>51</v>
      </c>
      <c r="B4">
        <v>588</v>
      </c>
    </row>
    <row r="5" spans="1:3" x14ac:dyDescent="0.3">
      <c r="A5" s="2" t="s">
        <v>62</v>
      </c>
      <c r="B5">
        <v>882</v>
      </c>
    </row>
    <row r="6" spans="1:3" x14ac:dyDescent="0.3">
      <c r="A6" s="2" t="s">
        <v>1555</v>
      </c>
      <c r="B6">
        <v>1470</v>
      </c>
    </row>
    <row r="9" spans="1:3" x14ac:dyDescent="0.3">
      <c r="C9" t="s">
        <v>1572</v>
      </c>
    </row>
    <row r="10" spans="1:3" x14ac:dyDescent="0.3">
      <c r="A10" t="s">
        <v>51</v>
      </c>
      <c r="B10">
        <f>IFERROR(GETPIVOTDATA("Employee Number",$A$3,"Gender","Female"),0)</f>
        <v>588</v>
      </c>
      <c r="C10" s="5">
        <f>IFERROR((B10/($B$10+$B$11)),0)</f>
        <v>0.4</v>
      </c>
    </row>
    <row r="11" spans="1:3" x14ac:dyDescent="0.3">
      <c r="A11" t="s">
        <v>62</v>
      </c>
      <c r="B11">
        <f>IFERROR(GETPIVOTDATA("Employee Number",$A$3,"Gender","Male"),0)</f>
        <v>882</v>
      </c>
      <c r="C11" s="5">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20830-C216-4810-B154-667522112A82}">
  <dimension ref="A3:B24"/>
  <sheetViews>
    <sheetView workbookViewId="0">
      <selection activeCell="J3" sqref="J3"/>
    </sheetView>
  </sheetViews>
  <sheetFormatPr defaultRowHeight="14.4" x14ac:dyDescent="0.3"/>
  <cols>
    <col min="1" max="1" width="12.21875" bestFit="1" customWidth="1"/>
    <col min="2" max="2" width="13.44140625" bestFit="1" customWidth="1"/>
  </cols>
  <sheetData>
    <row r="3" spans="1:2" x14ac:dyDescent="0.3">
      <c r="A3" s="1" t="s">
        <v>1573</v>
      </c>
      <c r="B3" t="s">
        <v>1574</v>
      </c>
    </row>
    <row r="4" spans="1:2" x14ac:dyDescent="0.3">
      <c r="A4" s="2" t="s">
        <v>69</v>
      </c>
      <c r="B4">
        <v>112</v>
      </c>
    </row>
    <row r="5" spans="1:2" x14ac:dyDescent="0.3">
      <c r="A5" s="8" t="s">
        <v>79</v>
      </c>
      <c r="B5">
        <v>14</v>
      </c>
    </row>
    <row r="6" spans="1:2" x14ac:dyDescent="0.3">
      <c r="A6" s="8" t="s">
        <v>64</v>
      </c>
      <c r="B6">
        <v>39</v>
      </c>
    </row>
    <row r="7" spans="1:2" x14ac:dyDescent="0.3">
      <c r="A7" s="8" t="s">
        <v>53</v>
      </c>
      <c r="B7">
        <v>59</v>
      </c>
    </row>
    <row r="8" spans="1:2" x14ac:dyDescent="0.3">
      <c r="A8" s="2" t="s">
        <v>46</v>
      </c>
      <c r="B8">
        <v>51</v>
      </c>
    </row>
    <row r="9" spans="1:2" x14ac:dyDescent="0.3">
      <c r="A9" s="8" t="s">
        <v>79</v>
      </c>
      <c r="B9">
        <v>14</v>
      </c>
    </row>
    <row r="10" spans="1:2" x14ac:dyDescent="0.3">
      <c r="A10" s="8" t="s">
        <v>64</v>
      </c>
      <c r="B10">
        <v>18</v>
      </c>
    </row>
    <row r="11" spans="1:2" x14ac:dyDescent="0.3">
      <c r="A11" s="8" t="s">
        <v>53</v>
      </c>
      <c r="B11">
        <v>19</v>
      </c>
    </row>
    <row r="12" spans="1:2" x14ac:dyDescent="0.3">
      <c r="A12" s="2" t="s">
        <v>58</v>
      </c>
      <c r="B12">
        <v>25</v>
      </c>
    </row>
    <row r="13" spans="1:2" x14ac:dyDescent="0.3">
      <c r="A13" s="8" t="s">
        <v>79</v>
      </c>
      <c r="B13">
        <v>3</v>
      </c>
    </row>
    <row r="14" spans="1:2" x14ac:dyDescent="0.3">
      <c r="A14" s="8" t="s">
        <v>64</v>
      </c>
      <c r="B14">
        <v>13</v>
      </c>
    </row>
    <row r="15" spans="1:2" x14ac:dyDescent="0.3">
      <c r="A15" s="8" t="s">
        <v>53</v>
      </c>
      <c r="B15">
        <v>9</v>
      </c>
    </row>
    <row r="16" spans="1:2" x14ac:dyDescent="0.3">
      <c r="A16" s="2" t="s">
        <v>75</v>
      </c>
      <c r="B16">
        <v>11</v>
      </c>
    </row>
    <row r="17" spans="1:2" x14ac:dyDescent="0.3">
      <c r="A17" s="8" t="s">
        <v>79</v>
      </c>
      <c r="B17">
        <v>1</v>
      </c>
    </row>
    <row r="18" spans="1:2" x14ac:dyDescent="0.3">
      <c r="A18" s="8" t="s">
        <v>64</v>
      </c>
      <c r="B18">
        <v>5</v>
      </c>
    </row>
    <row r="19" spans="1:2" x14ac:dyDescent="0.3">
      <c r="A19" s="8" t="s">
        <v>53</v>
      </c>
      <c r="B19">
        <v>5</v>
      </c>
    </row>
    <row r="20" spans="1:2" x14ac:dyDescent="0.3">
      <c r="A20" s="2" t="s">
        <v>92</v>
      </c>
      <c r="B20">
        <v>38</v>
      </c>
    </row>
    <row r="21" spans="1:2" x14ac:dyDescent="0.3">
      <c r="A21" s="8" t="s">
        <v>79</v>
      </c>
      <c r="B21">
        <v>1</v>
      </c>
    </row>
    <row r="22" spans="1:2" x14ac:dyDescent="0.3">
      <c r="A22" s="8" t="s">
        <v>64</v>
      </c>
      <c r="B22">
        <v>9</v>
      </c>
    </row>
    <row r="23" spans="1:2" x14ac:dyDescent="0.3">
      <c r="A23" s="8" t="s">
        <v>53</v>
      </c>
      <c r="B23">
        <v>28</v>
      </c>
    </row>
    <row r="24" spans="1:2" x14ac:dyDescent="0.3">
      <c r="A24" s="2" t="s">
        <v>1555</v>
      </c>
      <c r="B24">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66A32-393E-41DD-939F-D71BE4D097FC}">
  <dimension ref="A3:E13"/>
  <sheetViews>
    <sheetView workbookViewId="0">
      <selection activeCell="Q3" sqref="Q3"/>
    </sheetView>
  </sheetViews>
  <sheetFormatPr defaultRowHeight="14.4" x14ac:dyDescent="0.3"/>
  <cols>
    <col min="1" max="1" width="22.88671875" bestFit="1" customWidth="1"/>
    <col min="2" max="2" width="23.6640625" bestFit="1" customWidth="1"/>
    <col min="4" max="4" width="22" customWidth="1"/>
  </cols>
  <sheetData>
    <row r="3" spans="1:5" x14ac:dyDescent="0.3">
      <c r="A3" s="1" t="s">
        <v>1554</v>
      </c>
      <c r="B3" t="s">
        <v>1557</v>
      </c>
      <c r="D3" t="s">
        <v>1575</v>
      </c>
      <c r="E3" t="s">
        <v>0</v>
      </c>
    </row>
    <row r="4" spans="1:5" x14ac:dyDescent="0.3">
      <c r="A4" s="2" t="s">
        <v>83</v>
      </c>
      <c r="B4">
        <v>9</v>
      </c>
      <c r="D4" t="str">
        <f>A4</f>
        <v>Healthcare Representative</v>
      </c>
      <c r="E4">
        <f>GETPIVOTDATA("CF_attrition counts",$A$3,"Job Role",A4)</f>
        <v>9</v>
      </c>
    </row>
    <row r="5" spans="1:5" x14ac:dyDescent="0.3">
      <c r="A5" s="2" t="s">
        <v>163</v>
      </c>
      <c r="B5">
        <v>12</v>
      </c>
      <c r="D5" t="str">
        <f t="shared" ref="D5:D12" si="0">A5</f>
        <v>Human Resources</v>
      </c>
      <c r="E5">
        <f t="shared" ref="E5:E12" si="1">GETPIVOTDATA("CF_attrition counts",$A$3,"Job Role",A5)</f>
        <v>12</v>
      </c>
    </row>
    <row r="6" spans="1:5" x14ac:dyDescent="0.3">
      <c r="A6" s="2" t="s">
        <v>68</v>
      </c>
      <c r="B6">
        <v>62</v>
      </c>
      <c r="D6" t="str">
        <f t="shared" si="0"/>
        <v>Laboratory Technician</v>
      </c>
      <c r="E6">
        <f t="shared" si="1"/>
        <v>62</v>
      </c>
    </row>
    <row r="7" spans="1:5" x14ac:dyDescent="0.3">
      <c r="A7" s="2" t="s">
        <v>95</v>
      </c>
      <c r="B7">
        <v>5</v>
      </c>
      <c r="D7" t="str">
        <f t="shared" si="0"/>
        <v>Manager</v>
      </c>
      <c r="E7">
        <f t="shared" si="1"/>
        <v>5</v>
      </c>
    </row>
    <row r="8" spans="1:5" x14ac:dyDescent="0.3">
      <c r="A8" s="2" t="s">
        <v>81</v>
      </c>
      <c r="B8">
        <v>10</v>
      </c>
      <c r="D8" t="str">
        <f t="shared" si="0"/>
        <v>Manufacturing Director</v>
      </c>
      <c r="E8">
        <f t="shared" si="1"/>
        <v>10</v>
      </c>
    </row>
    <row r="9" spans="1:5" x14ac:dyDescent="0.3">
      <c r="A9" s="2" t="s">
        <v>101</v>
      </c>
      <c r="B9">
        <v>2</v>
      </c>
      <c r="D9" t="str">
        <f t="shared" si="0"/>
        <v>Research Director</v>
      </c>
      <c r="E9">
        <f t="shared" si="1"/>
        <v>2</v>
      </c>
    </row>
    <row r="10" spans="1:5" x14ac:dyDescent="0.3">
      <c r="A10" s="2" t="s">
        <v>63</v>
      </c>
      <c r="B10">
        <v>47</v>
      </c>
      <c r="D10" t="str">
        <f t="shared" si="0"/>
        <v>Research Scientist</v>
      </c>
      <c r="E10">
        <f t="shared" si="1"/>
        <v>47</v>
      </c>
    </row>
    <row r="11" spans="1:5" x14ac:dyDescent="0.3">
      <c r="A11" s="2" t="s">
        <v>52</v>
      </c>
      <c r="B11">
        <v>57</v>
      </c>
      <c r="D11" t="str">
        <f t="shared" si="0"/>
        <v>Sales Executive</v>
      </c>
      <c r="E11">
        <f t="shared" si="1"/>
        <v>57</v>
      </c>
    </row>
    <row r="12" spans="1:5" x14ac:dyDescent="0.3">
      <c r="A12" s="2" t="s">
        <v>99</v>
      </c>
      <c r="B12">
        <v>33</v>
      </c>
      <c r="D12" t="str">
        <f t="shared" si="0"/>
        <v>Sales Representative</v>
      </c>
      <c r="E12">
        <f t="shared" si="1"/>
        <v>33</v>
      </c>
    </row>
    <row r="13" spans="1:5" x14ac:dyDescent="0.3">
      <c r="A13" s="2" t="s">
        <v>1555</v>
      </c>
      <c r="B13">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C3DC-5361-4C10-97C9-091314CE00D9}">
  <dimension ref="A3:B9"/>
  <sheetViews>
    <sheetView workbookViewId="0">
      <selection activeCell="B8" sqref="B8"/>
    </sheetView>
  </sheetViews>
  <sheetFormatPr defaultRowHeight="14.4" x14ac:dyDescent="0.3"/>
  <cols>
    <col min="1" max="1" width="15.88671875" bestFit="1" customWidth="1"/>
    <col min="2" max="2" width="23.6640625" bestFit="1" customWidth="1"/>
  </cols>
  <sheetData>
    <row r="3" spans="1:2" x14ac:dyDescent="0.3">
      <c r="A3" s="1" t="s">
        <v>1554</v>
      </c>
      <c r="B3" t="s">
        <v>1557</v>
      </c>
    </row>
    <row r="4" spans="1:2" x14ac:dyDescent="0.3">
      <c r="A4" s="2" t="s">
        <v>134</v>
      </c>
      <c r="B4">
        <v>5</v>
      </c>
    </row>
    <row r="5" spans="1:2" x14ac:dyDescent="0.3">
      <c r="A5" s="2" t="s">
        <v>65</v>
      </c>
      <c r="B5">
        <v>31</v>
      </c>
    </row>
    <row r="6" spans="1:2" x14ac:dyDescent="0.3">
      <c r="A6" s="2" t="s">
        <v>55</v>
      </c>
      <c r="B6">
        <v>44</v>
      </c>
    </row>
    <row r="7" spans="1:2" x14ac:dyDescent="0.3">
      <c r="A7" s="2" t="s">
        <v>71</v>
      </c>
      <c r="B7">
        <v>58</v>
      </c>
    </row>
    <row r="8" spans="1:2" x14ac:dyDescent="0.3">
      <c r="A8" s="2" t="s">
        <v>77</v>
      </c>
      <c r="B8">
        <v>99</v>
      </c>
    </row>
    <row r="9" spans="1:2" x14ac:dyDescent="0.3">
      <c r="A9" s="2" t="s">
        <v>1555</v>
      </c>
      <c r="B9">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C2A54-5A39-4917-B4C6-01F82E2EC3D8}">
  <dimension ref="B19:B21"/>
  <sheetViews>
    <sheetView topLeftCell="A4" zoomScale="65" workbookViewId="0">
      <selection activeCell="B19" sqref="B19"/>
    </sheetView>
  </sheetViews>
  <sheetFormatPr defaultRowHeight="14.4" x14ac:dyDescent="0.3"/>
  <sheetData>
    <row r="19" spans="2:2" x14ac:dyDescent="0.3">
      <c r="B19" t="s">
        <v>1566</v>
      </c>
    </row>
    <row r="21" spans="2:2" x14ac:dyDescent="0.3">
      <c r="B21" t="s">
        <v>1565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9648F-7D60-429E-9E50-96BAC533BC01}">
  <dimension ref="AA8"/>
  <sheetViews>
    <sheetView showGridLines="0" tabSelected="1" topLeftCell="F2" zoomScale="64" zoomScaleNormal="70" workbookViewId="0">
      <selection activeCell="AH31" sqref="AH31"/>
    </sheetView>
  </sheetViews>
  <sheetFormatPr defaultRowHeight="14.4" x14ac:dyDescent="0.3"/>
  <cols>
    <col min="1" max="16384" width="8.88671875" style="7"/>
  </cols>
  <sheetData>
    <row r="8" spans="27:27" x14ac:dyDescent="0.3">
      <c r="AA8" s="7" t="s">
        <v>1571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Department Vs Attrition</vt:lpstr>
      <vt:lpstr>DataSet</vt:lpstr>
      <vt:lpstr>KPI</vt:lpstr>
      <vt:lpstr>Rating</vt:lpstr>
      <vt:lpstr>Gender</vt:lpstr>
      <vt:lpstr>Age Vs Attrition</vt:lpstr>
      <vt:lpstr>Job_role Vs attrition</vt:lpstr>
      <vt:lpstr>Education Vs Attrition</vt:lpstr>
      <vt:lpstr>Dashboard</vt:lpstr>
      <vt:lpstr>M_dashboard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shukla</dc:creator>
  <cp:lastModifiedBy>deepak shukla</cp:lastModifiedBy>
  <dcterms:created xsi:type="dcterms:W3CDTF">2026-05-27T10:44:24Z</dcterms:created>
  <dcterms:modified xsi:type="dcterms:W3CDTF">2026-05-29T11:54:25Z</dcterms:modified>
</cp:coreProperties>
</file>